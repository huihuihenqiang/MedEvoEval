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459859aa304cc8" /></Relationships>
</file>

<file path=xl/workbook.xml><?xml version="1.0" encoding="utf-8"?>
<x:workbook xmlns:x="http://schemas.openxmlformats.org/spreadsheetml/2006/main">
  <x:sheets>
    <x:sheet xmlns:r="http://schemas.openxmlformats.org/officeDocument/2006/relationships" name="audit" sheetId="1" r:id="R465e3b1f586c4a7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7202A"/>
      <x:name val="Arial"/>
    </x:font>
    <x:font>
      <x:b/>
      <x:sz val="10"/>
      <x:color rgb="FFFFFFFF"/>
      <x:name val="Arial"/>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f5dc3449604be1" /><Relationship Type="http://schemas.openxmlformats.org/officeDocument/2006/relationships/theme" Target="/xl/theme/theme1.xml" Id="R70f514c5eb714303" /><Relationship Type="http://schemas.openxmlformats.org/officeDocument/2006/relationships/sharedStrings" Target="/xl/sharedStrings.xml" Id="R93315307a69d4008" /><Relationship Type="http://schemas.openxmlformats.org/officeDocument/2006/relationships/worksheet" Target="/xl/worksheets/sheet1.xml" Id="R465e3b1f586c4a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8" hidden="0" customWidth="1"/>
    <x:col min="2" max="2" width="18"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25" hidden="0" customWidth="1"/>
    <x:col min="13" max="13" width="25" hidden="0" customWidth="1"/>
    <x:col min="14" max="14" width="25" hidden="0" customWidth="1"/>
    <x:col min="15" max="15" width="48" hidden="0" customWidth="1"/>
  </x:cols>
  <x:sheetData>
    <x:row r="1" ht="45" customHeight="1">
      <x:c r="A1" s="5" t="str">
        <x:v>audit_id</x:v>
      </x:c>
      <x:c r="B1" s="5" t="str">
        <x:v>episode_id</x:v>
      </x:c>
      <x:c r="C1" s="5" t="str">
        <x:v>presentation</x:v>
      </x:c>
      <x:c r="D1" s="5" t="str">
        <x:v>reference_gold_diagnosis</x:v>
      </x:c>
      <x:c r="E1" s="5" t="str">
        <x:v>reference_acceptable_names</x:v>
      </x:c>
      <x:c r="F1" s="5" t="str">
        <x:v>doctor_final_diagnosis</x:v>
      </x:c>
      <x:c r="G1" s="5" t="str">
        <x:v>doctor_evidence</x:v>
      </x:c>
      <x:c r="H1" s="5" t="str">
        <x:v>doctor_plan</x:v>
      </x:c>
      <x:c r="I1" s="5" t="str">
        <x:v>doctor_followup</x:v>
      </x:c>
      <x:c r="J1" s="5" t="str">
        <x:v>evidence_rubric_key_points</x:v>
      </x:c>
      <x:c r="K1" s="5" t="str">
        <x:v>management_rubric_key_points</x:v>
      </x:c>
      <x:c r="L1" s="5" t="str">
        <x:v>phys_diag_grade</x:v>
      </x:c>
      <x:c r="M1" s="5" t="str">
        <x:v>phys_evidence_score</x:v>
      </x:c>
      <x:c r="N1" s="5" t="str">
        <x:v>phys_plan_score</x:v>
      </x:c>
      <x:c r="O1" s="5" t="str">
        <x:v>phys_notes</x:v>
      </x:c>
    </x:row>
    <x:row r="2" ht="78" customHeight="1">
      <x:c r="A2" s="3" t="str">
        <x:v>audit-001</x:v>
      </x:c>
      <x:c r="B2" s="3" t="str">
        <x:v>episode-91-cli</x:v>
      </x:c>
      <x:c r="C2" s="3" t="str">
        <x:v>55岁 男性
主诉：右上肢无力
病史要点：年龄：55岁 ｜ 性别：男性 ｜ 主诉：右上肢无力 ｜ 症状：右上肢无力 ｜ 症状：右上肢感觉减退 ｜ 症状：右上肢钝痛和烧灼痛 ｜ 症状：明显体重下降 ｜ 既往史：糖尿病
既往史：糖尿病</x:v>
      </x:c>
      <x:c r="D2" s="3" t="str">
        <x:v>肺尖肿瘤</x:v>
      </x:c>
      <x:c r="E2" s="3" t="str">
        <x:v>肺尖肿瘤</x:v>
      </x:c>
      <x:c r="F2" s="3" t="str">
        <x:v>右肺尖肿瘤可能</x:v>
      </x:c>
      <x:c r="G2" s="3" t="str">
        <x:v>胸部X线：右肺尖可见肿块影；胸部CT：右肺尖可见实性肿块，提示肿瘤可能。</x:v>
      </x:c>
      <x:c r="H2" s="3" t="str">
        <x:v>建议进一步进行病理活检以明确肿瘤性质。</x:v>
      </x:c>
      <x:c r="I2" s="3" t="str">
        <x:v>建议尽快安排病理/活检类检查以明确诊断，并根据结果制定治疗方案。</x:v>
      </x:c>
      <x:c r="J2" s="3" t="str">
        <x:v>右上肢无力 ｜ 右上肢感觉减退 ｜ 右上肢钝痛和烧灼痛 ｜ 明显体重下降 ｜ 体温：99.5°F (37.5°C)；血压：177/108 mmHg；心率：90 次/分；呼吸频率：17 次/分；血氧饱和度：98% ｜ 右上肢肌力明显下降，感觉减退 ｜ 血常规无明显异常 ｜ 胸片及胸部CT示右肺尖肿块</x:v>
      </x:c>
      <x:c r="K2" s="3" t="str">
        <x:v>相关专科进一步评估或随访 ｜ 根据当前诊断给予规范化对症治疗 ｜ 必要时完善进一步检查并评估严重程度 ｜ 监测病情变化并进行风险告知</x:v>
      </x:c>
      <x:c r="L2" s="6" t="str"/>
      <x:c r="M2" s="6" t="str"/>
      <x:c r="N2" s="6" t="str"/>
      <x:c r="O2" s="6" t="str"/>
    </x:row>
    <x:row r="3" ht="78" customHeight="1">
      <x:c r="A3" s="3" t="str">
        <x:v>audit-002</x:v>
      </x:c>
      <x:c r="B3" s="3" t="str">
        <x:v>episode-540-cli</x:v>
      </x:c>
      <x:c r="C3" s="3" t="str">
        <x:v>25岁 男性 咖啡师
主诉：咳嗽伴绿色痰
病史要点：年龄：25岁 ｜ 性别：男性 ｜ 职业：咖啡师 ｜ 主诉：咳嗽伴绿色痰 ｜ 病程：3天 ｜ 症状：咳嗽伴绿色痰 ｜ 症状：气短 ｜ 症状：发热 ｜ 症状：疲劳 ｜ 症状：寒战 ｜ 病情特点：症状进行性加重 ｜ 病情特点：无哮喘或过敏史 ｜ 病情特点：无近期旅行史 ｜ 既往史：轻度季节性过敏史，无哮喘及既往肺部疾病。 ｜ 吸烟史：不吸烟 ｜ 饮酒史：偶尔社交性饮酒 ｜ 否认：无胸痛 ｜ 否认：无咯血 ｜ 否认：无明确病人接触史
既往史：轻度季节性过敏史，无哮喘及既往肺部疾病。</x:v>
      </x:c>
      <x:c r="D3" s="3" t="str">
        <x:v>社区获得性肺炎</x:v>
      </x:c>
      <x:c r="E3" s="3" t="str">
        <x:v>社区获得性肺炎 ｜ CAP</x:v>
      </x:c>
      <x:c r="F3" s="3" t="str">
        <x:v>肺炎</x:v>
      </x:c>
      <x:c r="G3" s="3" t="str">
        <x:v>体温38.5°C，呼吸频率22次/分钟，右下肺湿啰音和哮鸣音 ｜ 白细胞计数15,000 /μL（升高） ｜ 痰培养分离出肺炎链球菌</x:v>
      </x:c>
      <x:c r="H3" s="3" t="str">
        <x:v>开始抗生素治疗 ｜ 继续观察病情变化 ｜ 安排胸部X光检查以确认肺炎范围</x:v>
      </x:c>
      <x:c r="I3" s="3" t="str">
        <x:v>如果症状无改善，需重新评估治疗方案 ｜ 注意监测体温和呼吸状况</x:v>
      </x:c>
      <x:c r="J3" s="3" t="str">
        <x:v>急性咳嗽伴绿色痰 ｜ 发热、寒战和疲劳 ｜ 右下肺湿啰音及哮鸣音 ｜ 右下肺叩诊浊音，触觉语颤增强 ｜ WBC升高 ｜ 痰培养肺炎链球菌阳性 ｜ 胸片示右下叶实变</x:v>
      </x:c>
      <x:c r="K3" s="3" t="str">
        <x:v>呼吸科或全科进一步评估或随访 ｜ 给予规范抗感染治疗 ｜ 监测氧合和临床改善 ｜ 必要时短期复查</x:v>
      </x:c>
      <x:c r="L3" s="6" t="str"/>
      <x:c r="M3" s="6" t="str"/>
      <x:c r="N3" s="6" t="str"/>
      <x:c r="O3" s="6" t="str"/>
    </x:row>
    <x:row r="4" ht="78" customHeight="1">
      <x:c r="A4" s="3" t="str">
        <x:v>audit-003</x:v>
      </x:c>
      <x:c r="B4" s="3" t="str">
        <x:v>episode-245-cli</x:v>
      </x:c>
      <x:c r="C4" s="3" t="str">
        <x:v>0岁 女性
主诉：眼睛和皮肤发黄
病史要点：年龄：0岁 ｜ 性别：女性 ｜ 主诉：眼睛和皮肤发黄 ｜ 病程：黄疸2周并逐渐加重 ｜ 症状：眼睛和皮肤黄染 ｜ 症状：大便颜色变浅 ｜ 病情特点：现4周龄 ｜ 病情特点：出生后先母乳后因担心黄疸改为配方奶 ｜ 病情特点：足月38周顺产无并发症 ｜ 既往史：无明显围产期异常 ｜ 否认：生长喂养尚可，无神经系统异常
既往史：无明显围产期异常</x:v>
      </x:c>
      <x:c r="D4" s="3" t="str">
        <x:v>胆道闭锁</x:v>
      </x:c>
      <x:c r="E4" s="3" t="str">
        <x:v>胆道闭锁</x:v>
      </x:c>
      <x:c r="F4" s="3" t="str">
        <x:v>胆道闭锁可能</x:v>
      </x:c>
      <x:c r="G4" s="3" t="str">
        <x:v>总胆红素15 mg/dL，直接胆红素12.3 mg/dL，ALP 2007 U/L，GGT 154 U/L，大便颜色变浅</x:v>
      </x:c>
      <x:c r="H4" s="3" t="str">
        <x:v>立即进行肝胆超声评估肝门部纤维块 ｜ 72小时内完成胆道造影或MRCP ｜ 若确诊胆道闭锁则在60天内行Kasai手术 ｜ 同步启动肝硬化监测及肝移植评估</x:v>
      </x:c>
      <x:c r="I4" s="3" t="str">
        <x:v>密切观察病情变化 ｜ 及时处理并发症 ｜ 安排后续治疗</x:v>
      </x:c>
      <x:c r="J4" s="3" t="str">
        <x:v>持续性黄疸 ｜ 直接胆红素显著升高 ｜ 白陶土样便 ｜ 肝大 ｜ 胆汁淤积酶升高</x:v>
      </x:c>
      <x:c r="K4" s="3" t="str">
        <x:v>小儿外科/肝胆专科紧急评估 ｜ 尽快完善肝胆显像和术前评估 ｜ 把握Kasai手术时机 ｜ 监测营养和脂溶性维生素缺乏</x:v>
      </x:c>
      <x:c r="L4" s="6" t="str"/>
      <x:c r="M4" s="6" t="str"/>
      <x:c r="N4" s="6" t="str"/>
      <x:c r="O4" s="6" t="str"/>
    </x:row>
    <x:row r="5" ht="78" customHeight="1">
      <x:c r="A5" s="3" t="str">
        <x:v>audit-004</x:v>
      </x:c>
      <x:c r="B5" s="3" t="str">
        <x:v>episode-145-cli</x:v>
      </x:c>
      <x:c r="C5" s="3" t="str">
        <x:v>31岁 女性
主诉：慢性腹泻
病史要点：年龄：31岁 ｜ 性别：女性 ｜ 主诉：慢性腹泻 ｜ 病程：4个月 ｜ 症状：多数日子腹泻 ｜ 症状：下腹不适 ｜ 症状：腹部痉挛，腹泻后缓解 ｜ 症状：排便急迫感 ｜ 症状：偶有黏液便 ｜ 症状：便后不尽感 ｜ 病情特点：数月前曾露营 ｜ 既往史：未提供明显既往病史 ｜ 否认：无近期体重变化 ｜ 否认：无发热 ｜ 否认：无恶心 ｜ 否认：无呕吐
既往史：未提供明显既往病史</x:v>
      </x:c>
      <x:c r="D5" s="3" t="str">
        <x:v>肠易激综合征</x:v>
      </x:c>
      <x:c r="E5" s="3" t="str">
        <x:v>肠易激综合征 ｜ IBS</x:v>
      </x:c>
      <x:c r="F5" s="3" t="str">
        <x:v>腹泻型肠易激综合征（IBS-D）</x:v>
      </x:c>
      <x:c r="G5" s="3" t="str">
        <x:v>青年男性，慢性腹泻&gt;3个月，伴下腹不适/痉挛且排便后缓解 ｜ 黏液便，排便不尽感 ｜ 无报警症状（体重减轻、便血、发热） ｜ 实验室检查（血常规、ESR、粪便常规）正常</x:v>
      </x:c>
      <x:c r="H5" s="3" t="str">
        <x:v>饮食调整：低FODMAP饮食试验，排查乳糖不耐受 ｜ 解痉药：匹维溴铵对症治疗 ｜ 益生菌调节肠道菌群 ｜ 向患者解释IBS为功能性肠病，预后良好，但需识别个人诱因</x:v>
      </x:c>
      <x:c r="I5" s="3" t="str">
        <x:v>2-4周评估饮食干预反应 ｜ 若无效考虑二线治疗（利福昔明、阿洛司琼等）</x:v>
      </x:c>
      <x:c r="J5" s="3" t="str">
        <x:v>慢性腹泻4个月 ｜ 下腹不适和痉挛 ｜ 腹泻后缓解 ｜ 排便急迫感 ｜ 黏液便 ｜ 便后不尽感 ｜ 生命体征平稳 ｜ 粪便常规正常 ｜ 炎症指标不高</x:v>
      </x:c>
      <x:c r="K5" s="3" t="str">
        <x:v>消化科进一步评估 ｜ 进行饮食和生活方式管理 ｜ 根据症状给予对症治疗 ｜ 监测报警症状出现</x:v>
      </x:c>
      <x:c r="L5" s="6" t="str"/>
      <x:c r="M5" s="6" t="str"/>
      <x:c r="N5" s="6" t="str"/>
      <x:c r="O5" s="6" t="str"/>
    </x:row>
    <x:row r="6" ht="78" customHeight="1">
      <x:c r="A6" s="3" t="str">
        <x:v>audit-005</x:v>
      </x:c>
      <x:c r="B6" s="3" t="str">
        <x:v>episode-159-cli</x:v>
      </x:c>
      <x:c r="C6" s="3" t="str">
        <x:v>54岁 男性 银行职员
主诉：进行性行走困难
病史要点：年龄：54岁 ｜ 性别：男性 ｜ 职业：银行职员 ｜ 主诉：进行性行走困难 ｜ 病程：行走困难3个月，尿失禁1年 ｜ 症状：进行性行走困难 ｜ 症状：近1个月需轮椅辅助 ｜ 症状：尿失禁 ｜ 症状：言语含糊 ｜ 症状：肢体僵硬 ｜ 症状：轻度手震颤 ｜ 症状：直立性低血压 ｜ 既往史：无明显慢性疾病史 ｜ 吸烟史：不吸烟 ｜ 饮酒史：偶尔饮酒 ｜ 否认：无近期感染 ｜ 否认：无发热 ｜ 否认：无体重下降 ｜ 否认：无视力改变 ｜ 否认：无癫痫发作
既往史：无明显慢性疾病史</x:v>
      </x:c>
      <x:c r="D6" s="3" t="str">
        <x:v>多系统萎缩</x:v>
      </x:c>
      <x:c r="E6" s="3" t="str">
        <x:v>多系统萎缩 ｜ MSA</x:v>
      </x:c>
      <x:c r="F6" s="3" t="str">
        <x:v>神经退行性病变</x:v>
      </x:c>
      <x:c r="G6" s="3" t="str">
        <x:v>头颅及脊髓MRI结果显示脑干、小脑和基底节多发萎缩及信号改变，符合神经退行性病变。</x:v>
      </x:c>
      <x:c r="H6" s="3" t="str">
        <x:v>安排神经科进一步评估和治疗方案制定。 ｜ 进行功能评估以确定患者日常活动能力。</x:v>
      </x:c>
      <x:c r="I6" s="3" t="str">
        <x:v>定期随访病情变化。 ｜ 根据评估结果调整治疗方案。</x:v>
      </x:c>
      <x:c r="J6" s="3" t="str">
        <x:v>进行性行走困难 ｜ 尿失禁 ｜ 言语含糊 ｜ 肌强直 ｜ 轻度震颤 ｜ 直立性低血压 ｜ 自主神经功能障碍 ｜ MRI提示脑干、小脑、基底节受累</x:v>
      </x:c>
      <x:c r="K6" s="3" t="str">
        <x:v>神经内科进一步评估和随访 ｜ 进行自主神经症状和运动症状管理 ｜ 康复训练及跌倒预防 ｜ 监测吞咽、排尿和血压问题</x:v>
      </x:c>
      <x:c r="L6" s="6" t="str"/>
      <x:c r="M6" s="6" t="str"/>
      <x:c r="N6" s="6" t="str"/>
      <x:c r="O6" s="6" t="str"/>
    </x:row>
    <x:row r="7" ht="78" customHeight="1">
      <x:c r="A7" s="3" t="str">
        <x:v>audit-006</x:v>
      </x:c>
      <x:c r="B7" s="3" t="str">
        <x:v>episode-266-cli</x:v>
      </x:c>
      <x:c r="C7" s="3" t="str">
        <x:v>46岁 男性
主诉：昏迷，车祸后送医
病史要点：年龄：46岁 ｜ 性别：男性 ｜ 主诉：昏迷，车祸后送医 ｜ 病程：急性 ｜ 症状：意识丧失 ｜ 症状：呼吸增快 ｜ 症状：休克 ｜ 症状：脉搏不规则 ｜ 症状：胸部多处瘀斑 ｜ 症状：颈静脉压增高 ｜ 症状：双肺底湿啰音 ｜ 病情特点：机动车碰撞，未系安全带驾驶员 ｜ 既往史：未提供 ｜ 否认：因昏迷无法完成
既往史：未提供</x:v>
      </x:c>
      <x:c r="D7" s="3" t="str">
        <x:v>心脏挫伤</x:v>
      </x:c>
      <x:c r="E7" s="3" t="str">
        <x:v>心脏挫伤</x:v>
      </x:c>
      <x:c r="F7" s="3" t="str">
        <x:v>创伤性休克</x:v>
      </x:c>
      <x:c r="G7" s="3" t="str">
        <x:v>生命体征异常：血压下降至50 mm Hg，心率升至160次/分，呼吸频率24次/分；意识昏迷；胸部查体显示多处瘀斑及双肺底湿啰音。</x:v>
      </x:c>
      <x:c r="H7" s="3" t="str">
        <x:v>立即建立静脉通路，给予液体复苏；监测生命体征；准备进一步影像学检查以评估内部损伤。</x:v>
      </x:c>
      <x:c r="I7" s="3" t="str">
        <x:v>密切观察病情变化，必要时转入重症监护室。</x:v>
      </x:c>
      <x:c r="J7" s="3" t="str">
        <x:v>胸部钝挫伤 ｜ 休克与心律失常 ｜ JVP升高 ｜ 肺底啰音提示心源性因素 ｜ FAST阴性排除明显腹腔失血</x:v>
      </x:c>
      <x:c r="K7" s="3" t="str">
        <x:v>创伤和心内科监护 ｜ 连续心电和血流动力学监测 ｜ 床旁超声/心超评估 ｜ 支持治疗并处理心律失常</x:v>
      </x:c>
      <x:c r="L7" s="6" t="str"/>
      <x:c r="M7" s="6" t="str"/>
      <x:c r="N7" s="6" t="str"/>
      <x:c r="O7" s="6" t="str"/>
    </x:row>
    <x:row r="8" ht="78" customHeight="1">
      <x:c r="A8" s="3" t="str">
        <x:v>audit-007</x:v>
      </x:c>
      <x:c r="B8" s="3" t="str">
        <x:v>episode-75-cli</x:v>
      </x:c>
      <x:c r="C8" s="3" t="str">
        <x:v>None岁
主诉：持续25秒的强直性癫痫发作
病史要点：主诉：持续25秒的强直性癫痫发作 ｜ 症状：持续25秒的强直性癫痫发作 ｜ 症状：近18小时嗜睡加重 ｜ 症状：病容明显 ｜ 既往史：31周早产，产前并发症包括绒毛膜羊膜炎
既往史：31周早产，产前并发症包括绒毛膜羊膜炎</x:v>
      </x:c>
      <x:c r="D8" s="3" t="str">
        <x:v>脑室内出血</x:v>
      </x:c>
      <x:c r="E8" s="3" t="str">
        <x:v>脑室内出血</x:v>
      </x:c>
      <x:c r="F8" s="3" t="str">
        <x:v>脑室内出血继发癫痫发作</x:v>
      </x:c>
      <x:c r="G8" s="3" t="str">
        <x:v>首次强直性癫痫发作，持续25秒 ｜ 颅脑超声：脑室内可见出血证据 ｜ 白细胞轻度升高，C反应蛋白升高提示炎症反应 ｜ 发作后嗜睡、病容明显</x:v>
      </x:c>
      <x:c r="H8" s="3" t="str">
        <x:v>立即请神经外科会诊评估脑室内出血程度及是否需要手术干预 ｜ 给予抗癫痫药物控制发作，如左乙拉西坦或丙戊酸钠 ｜ 严密监测生命体征、意识状态及神经系统体征变化 ｜ 必要时行头颅CT或MRI进一步明确出血范围及病因 ｜ 针对炎症反应，经验性抗感染治疗待排除中枢感染</x:v>
      </x:c>
      <x:c r="I8" s="3" t="str">
        <x:v>24-48小时内复查头颅影像学评估出血变化 ｜ 神经科及神经外科联合随访 ｜ 长期抗癫痫药物治疗，定期监测血药浓度及肝肾功能 ｜ 出院后1周门诊复查，评估神经功能恢复情况</x:v>
      </x:c>
      <x:c r="J8" s="3" t="str">
        <x:v>持续25秒的强直性癫痫发作 ｜ 近18小时嗜睡加重 ｜ 病容明显 ｜ 血压60/30 mmHg；心率123次/分；呼吸频率50次/分 ｜ 嗜睡、前囟张力高、瞳孔反应迟钝、四肢张力下降 ｜ 颅脑超声示脑室内出血 ｜ 炎症指标升高</x:v>
      </x:c>
      <x:c r="K8" s="3" t="str">
        <x:v>新生儿科或神经科紧急进一步评估或随访 ｜ 根据当前诊断给予规范化处理 ｜ 必要时完善进一步检查并评估严重程度 ｜ 监测病情变化并进行风险告知</x:v>
      </x:c>
      <x:c r="L8" s="6" t="str"/>
      <x:c r="M8" s="6" t="str"/>
      <x:c r="N8" s="6" t="str"/>
      <x:c r="O8" s="6" t="str"/>
    </x:row>
    <x:row r="9" ht="78" customHeight="1">
      <x:c r="A9" s="3" t="str">
        <x:v>audit-008</x:v>
      </x:c>
      <x:c r="B9" s="3" t="str">
        <x:v>episode-302-cli</x:v>
      </x:c>
      <x:c r="C9" s="3" t="str">
        <x:v>0岁 女性 婴儿
主诉：持续哭闹
病史要点：年龄：0岁 ｜ 性别：女性 ｜ 职业：婴儿 ｜ 主诉：持续哭闹 ｜ 病程：5小时 ｜ 症状：持续哭闹5小时 ｜ 症状：拒绝进食 ｜ 病情特点：期间几乎无安静间歇 ｜ 病情特点：无类似既往发作 ｜ 病情特点：无近期疾病 ｜ 病情特点：无外伤 ｜ 病情特点：出生史及发育史正常 ｜ 既往史：足月顺产，无并发症，无住院或严重疾病史。 ｜ 否认：无发热 ｜ 否认：无呕吐 ｜ 否认：无腹泻 ｜ 否认：无咳嗽 ｜ 否认：无流涕 ｜ 否认：无上呼吸道感染表现
既往史：足月顺产，无并发症，无住院或严重疾病史。</x:v>
      </x:c>
      <x:c r="D9" s="3" t="str">
        <x:v>毛发止血带综合征</x:v>
      </x:c>
      <x:c r="E9" s="3" t="str">
        <x:v>毛发止血带综合征</x:v>
      </x:c>
      <x:c r="F9" s="3" t="str">
        <x:v>左足第2趾异物嵌入或局部感染</x:v>
      </x:c>
      <x:c r="G9" s="3" t="str">
        <x:v>体格检查类: 左足第2趾发红肿胀，毛发/线样物缠绕</x:v>
      </x:c>
      <x:c r="H9" s="3" t="str">
        <x:v>对左足第2趾进行局部清洁和消毒，必要时移除异物或进行进一步影像学检查。</x:v>
      </x:c>
      <x:c r="I9" s="3" t="str">
        <x:v>观察宝宝是否出现发热、肿胀加重或其他异常症状，及时复诊。</x:v>
      </x:c>
      <x:c r="J9" s="3" t="str">
        <x:v>婴儿不明原因持续哭闹 ｜ 局部趾端红肿 ｜ 仔细查体发现毛发或线缠绕 ｜ 影像和血常规无其他明显异常 ｜ 属于需要细致全身检查才能发现的病因</x:v>
      </x:c>
      <x:c r="K9" s="3" t="str">
        <x:v>立即解除缠绕物 ｜ 评估局部血供和组织损伤 ｜ 必要时外科/皮肤科协助处理 ｜ 向家长宣教再次发生的预防</x:v>
      </x:c>
      <x:c r="L9" s="6" t="str"/>
      <x:c r="M9" s="6" t="str"/>
      <x:c r="N9" s="6" t="str"/>
      <x:c r="O9" s="6" t="str"/>
    </x:row>
    <x:row r="10" ht="78" customHeight="1">
      <x:c r="A10" s="3" t="str">
        <x:v>audit-009</x:v>
      </x:c>
      <x:c r="B10" s="3" t="str">
        <x:v>episode-533-cli</x:v>
      </x:c>
      <x:c r="C10" s="3" t="str">
        <x:v>55岁 男性 银行职员
主诉：剧烈胸痛
病史要点：年龄：55岁 ｜ 性别：男性 ｜ 职业：银行职员 ｜ 主诉：剧烈胸痛 ｜ 病程：2小时 ｜ 症状：中央胸部压榨样疼痛 ｜ 症状：向左臂和下颌放射 ｜ 症状：气短 ｜ 症状：恶心 ｜ 症状：焦虑 ｜ 病情特点：静息时突然发生 ｜ 病情特点：无近期外伤 ｜ 病情特点：无发热 ｜ 病情特点：无咳嗽 ｜ 病情特点：无咯血 ｜ 既往史：高血压和高脂血症。无既往心脏事件。 ｜ 吸烟史：20包年 ｜ 饮酒史：偶尔饮酒 ｜ 否认：无发热 ｜ 否认：无咳嗽 ｜ 否认：无咯血 ｜ 否认：无下肢肿胀 ｜ 否认：无近期旅行史
既往史：高血压和高脂血症。无既往心脏事件。</x:v>
      </x:c>
      <x:c r="D10" s="3" t="str">
        <x:v>急性下壁心肌梗死（STEMI）</x:v>
      </x:c>
      <x:c r="E10" s="3" t="str">
        <x:v>急性下壁心肌梗死 ｜ 急性心肌梗死（下壁STEMI）</x:v>
      </x:c>
      <x:c r="F10" s="3" t="str">
        <x:v>急性冠脉综合征</x:v>
      </x:c>
      <x:c r="G10" s="3" t="str">
        <x:v>心肌标志物（Troponin）升高至0.9 ng/mL，超过正常范围；患者有剧烈胸痛症状。</x:v>
      </x:c>
      <x:c r="H10" s="3" t="str">
        <x:v>立即启动ACS规范化处理流程，包括12导联心电图检查以明确STEMI/NSTEMI分型。 ｜ 给予双联抗血小板药物（阿司匹林+P2Y12抑制剂）及抗凝治疗。 ｜ 根据心电图结果决定是否进行直接PCI或溶栓治疗。</x:v>
      </x:c>
      <x:c r="I10" s="3" t="str">
        <x:v>持续心电监护以识别恶性心律失常。 ｜ 密切观察患者病情变化并及时调整治疗方案。</x:v>
      </x:c>
      <x:c r="J10" s="3" t="str">
        <x:v>静息时突发压榨样胸痛 ｜ 向左臂和下颌放射 ｜ 伴气短和恶心 ｜ 心电图II、III、aVF导联ST段抬高并有对应性改变 ｜ Troponin升高</x:v>
      </x:c>
      <x:c r="K10" s="3" t="str">
        <x:v>胸痛中心紧急处理 ｜ 立即启动再灌注治疗流程 ｜ 给予ACS标准药物治疗 ｜ 严密监测并发症和氧合</x:v>
      </x:c>
      <x:c r="L10" s="6" t="str"/>
      <x:c r="M10" s="6" t="str"/>
      <x:c r="N10" s="6" t="str"/>
      <x:c r="O10" s="6" t="str"/>
    </x:row>
    <x:row r="11" ht="78" customHeight="1">
      <x:c r="A11" s="3" t="str">
        <x:v>audit-010</x:v>
      </x:c>
      <x:c r="B11" s="3" t="str">
        <x:v>episode-39-cli</x:v>
      </x:c>
      <x:c r="C11" s="3" t="str">
        <x:v>53岁 男性
主诉：乏力和注意力难以集中
病史要点：年龄：53岁 ｜ 性别：男性 ｜ 主诉：乏力和注意力难以集中 ｜ 症状：乏力和注意力难以集中 ｜ 症状：活动后呼吸困难 ｜ 症状：头晕 ｜ 症状：手指疼痛，遇冷可缓解 ｜ 既往史：高血压，目前使用依那普利治疗
既往史：高血压，目前使用依那普利治疗</x:v>
      </x:c>
      <x:c r="D11" s="3" t="str">
        <x:v>原发性血小板增多症</x:v>
      </x:c>
      <x:c r="E11" s="3" t="str">
        <x:v>原发性血小板增多症</x:v>
      </x:c>
      <x:c r="F11" s="3" t="str">
        <x:v>缺铁性贫血</x:v>
      </x:c>
      <x:c r="G11" s="3" t="str">
        <x:v>血小板：700000/mm3（增多）；外周血涂片：可见增多的异常血小板；血清铁：降低；铁饱和度：降低；铁蛋白：降低；总铁结合力：升高</x:v>
      </x:c>
      <x:c r="H11" s="3" t="str">
        <x:v>补充铁剂治疗，定期复查血常规和铁代谢指标。</x:v>
      </x:c>
      <x:c r="I11" s="3" t="str">
        <x:v>建议1个月后复查血常规和铁代谢指标，评估治疗效果。</x:v>
      </x:c>
      <x:c r="J11" s="3" t="str">
        <x:v>乏力和注意力难以集中 ｜ 活动后呼吸困难 ｜ 头晕 ｜ 手指疼痛遇冷缓解 ｜ 体温36.9°C；血压131/82 mmHg；心率95次/分 ｜ 无急性痛苦表现，轻度疲倦；可触及脾大 ｜ 血小板显著升高，外周血涂片异常 ｜ 骨髓穿刺示巨核细胞异常；基因检测阳性</x:v>
      </x:c>
      <x:c r="K11" s="3" t="str">
        <x:v>血液科进一步评估或随访 ｜ 根据当前诊断给予规范化治疗 ｜ 必要时完善进一步检查并评估严重程度 ｜ 监测病情变化并进行风险告知</x:v>
      </x:c>
      <x:c r="L11" s="6" t="str"/>
      <x:c r="M11" s="6" t="str"/>
      <x:c r="N11" s="6" t="str"/>
      <x:c r="O11" s="6" t="str"/>
    </x:row>
    <x:row r="12" ht="78" customHeight="1">
      <x:c r="A12" s="3" t="str">
        <x:v>audit-011</x:v>
      </x:c>
      <x:c r="B12" s="3" t="str">
        <x:v>episode-271-cli</x:v>
      </x:c>
      <x:c r="C12" s="3" t="str">
        <x:v>33岁 男性
主诉：复发性气胸
病史要点：年龄：33岁 ｜ 性别：男性 ｜ 主诉：复发性气胸 ｜ 病程：车祸后急性 ｜ 症状：已插胸管后再次出现气胸 ｜ 症状：锁骨区皮下气肿 ｜ 症状：呼吸窘迫 ｜ 病情特点：正面碰撞未系安全带驾驶员 ｜ 病情特点：入院时GCS低已气管插管 ｜ 病情特点：既往已针刺减压和胸管置入处理初始气胸 ｜ 既往史：无明显既往病史 ｜ 否认：因昏迷和插管限制
既往史：无明显既往病史</x:v>
      </x:c>
      <x:c r="D12" s="3" t="str">
        <x:v>气管支气管破裂</x:v>
      </x:c>
      <x:c r="E12" s="3" t="str">
        <x:v>气管支气管破裂</x:v>
      </x:c>
      <x:c r="F12" s="3" t="str">
        <x:v>气管支气管破裂</x:v>
      </x:c>
      <x:c r="G12" s="3" t="str">
        <x:v>胸管在位情况下再次出现气胸 ｜ 胸片显示初始气胸已缓解，但复查时再次出现气胸</x:v>
      </x:c>
      <x:c r="H12" s="3" t="str">
        <x:v>立即进行胸部CT三维重建或支气管镜检查以明确是否存在气管支气管破裂 ｜ 同步准备手术修复 ｜ 密切观察病情变化</x:v>
      </x:c>
      <x:c r="I12" s="3" t="str">
        <x:v>根据检查结果决定是否需要手术治疗 ｜ 密切监测生命体征和呼吸情况 ｜ 如有恶化，立即启动紧急处理流程</x:v>
      </x:c>
      <x:c r="J12" s="3" t="str">
        <x:v>严重胸部创伤 ｜ 胸管在位仍反复气胸 ｜ 明显皮下气肿 ｜ 提示持续漏气性大气道损伤</x:v>
      </x:c>
      <x:c r="K12" s="3" t="str">
        <x:v>胸外科紧急评估 ｜ 支气管镜明确损伤部位 ｜ 优化通气策略避免漏气加重 ｜ 准备手术修复</x:v>
      </x:c>
      <x:c r="L12" s="6" t="str"/>
      <x:c r="M12" s="6" t="str"/>
      <x:c r="N12" s="6" t="str"/>
      <x:c r="O12" s="6" t="str"/>
    </x:row>
    <x:row r="13" ht="78" customHeight="1">
      <x:c r="A13" s="3" t="str">
        <x:v>audit-012</x:v>
      </x:c>
      <x:c r="B13" s="3" t="str">
        <x:v>episode-448-cli</x:v>
      </x:c>
      <x:c r="C13" s="3" t="str">
        <x:v>45岁 男性 园林工人
主诉：持续咳嗽
病史要点：年龄：45岁 ｜ 性别：男性 ｜ 职业：园林工人 ｜ 主诉：持续咳嗽 ｜ 病程：2个月 ｜ 症状：持续咳嗽 ｜ 症状：活动后气短 ｜ 症状：偶有清痰 ｜ 症状：夜间咳嗽更明显 ｜ 病情特点：既往有季节性过敏史 ｜ 病情特点：无发热 ｜ 病情特点：无体重下降 ｜ 病情特点：无胸痛 ｜ 既往史：季节性过敏史，无重大手术史。 ｜ 吸烟史：既往吸烟约10包年，5年前戒烟 ｜ 饮酒史：未提供 ｜ 否认：无发热 ｜ 否认：无体重下降 ｜ 否认：无胸痛 ｜ 否认：无明显哮鸣主诉
既往史：季节性过敏史，无重大手术史。</x:v>
      </x:c>
      <x:c r="D13" s="3" t="str">
        <x:v>慢性阻塞性肺疾病</x:v>
      </x:c>
      <x:c r="E13" s="3" t="str">
        <x:v>慢性阻塞性肺疾病 ｜ COPD</x:v>
      </x:c>
      <x:c r="F13" s="3" t="str">
        <x:v>慢性阻塞性肺疾病</x:v>
      </x:c>
      <x:c r="G13" s="3" t="str">
        <x:v>胸部X线提示肺过度充气 ｜ 肺功能检查显示FEV1/FVC比值小于70%</x:v>
      </x:c>
      <x:c r="H13" s="3" t="str">
        <x:v>启动支气管扩张剂治疗 ｜ 建议戒烟并避免环境暴露 ｜ 制定长期随访计划</x:v>
      </x:c>
      <x:c r="I13" s="3" t="str">
        <x:v>定期复查肺功能 ｜ 评估治疗效果 ｜ 调整药物方案</x:v>
      </x:c>
      <x:c r="J13" s="3" t="str">
        <x:v>持续咳嗽2个月 ｜ 活动后气短 ｜ 夜间咳嗽加重 ｜ 既往吸烟史 ｜ 听诊轻度呼气性哮鸣音 ｜ 胸部X线示肺过度充气 ｜ 肺功能FEV1/FVC &lt; 70%提示阻塞性通气障碍</x:v>
      </x:c>
      <x:c r="K13" s="3" t="str">
        <x:v>呼吸内科进一步评估或随访 ｜ 给予吸入支气管扩张剂等规范治疗 ｜ 进行戒烟和职业暴露管理 ｜ 监测症状及急性加重风险</x:v>
      </x:c>
      <x:c r="L13" s="6" t="str"/>
      <x:c r="M13" s="6" t="str"/>
      <x:c r="N13" s="6" t="str"/>
      <x:c r="O13" s="6" t="str"/>
    </x:row>
    <x:row r="14" ht="78" customHeight="1">
      <x:c r="A14" s="3" t="str">
        <x:v>audit-013</x:v>
      </x:c>
      <x:c r="B14" s="3" t="str">
        <x:v>episode-490-cli</x:v>
      </x:c>
      <x:c r="C14" s="3" t="str">
        <x:v>55岁 男性 会计
主诉：胸痛
病史要点：年龄：55岁 ｜ 性别：男性 ｜ 职业：会计 ｜ 主诉：胸痛 ｜ 病程：2小时 ｜ 症状：胸前区沉重压榨样疼痛 ｜ 症状：向左臂和下颌放射 ｜ 症状：出汗 ｜ 症状：轻度气短 ｜ 病情特点：快步行走时发作 ｜ 病情特点：休息后稍减轻但未完全消失 ｜ 病情特点：无恶心 ｜ 病情特点：无呕吐 ｜ 既往史：高血压，高脂血症，心脏病家族史。 ｜ 吸烟史：既往吸烟，5年前戒烟 ｜ 饮酒史：中等量饮酒 ｜ 否认：无发热 ｜ 否认：无咳嗽 ｜ 否认：无心悸 ｜ 否认：无晕厥 ｜ 否认：既往无类似发作
既往史：高血压，高脂血症，心脏病家族史。</x:v>
      </x:c>
      <x:c r="D14" s="3" t="str">
        <x:v>急性下壁心肌梗死</x:v>
      </x:c>
      <x:c r="E14" s="3" t="str">
        <x:v>急性下壁心肌梗死 ｜ 急性下壁STEMI</x:v>
      </x:c>
      <x:c r="F14" s="3" t="str">
        <x:v>心绞痛</x:v>
      </x:c>
      <x:c r="G14" s="3" t="str">
        <x:v>胸痛放射至左臂和下颌，伴有出汗和轻度气短 ｜ 高血压病史 ｜ 胸部X线未见急性浸润或心衰表现</x:v>
      </x:c>
      <x:c r="H14" s="3" t="str">
        <x:v>建议进行心电图检查以评估心脏功能 ｜ 开始使用抗心绞痛药物治疗 ｜ 安排随访以监测病情变化</x:v>
      </x:c>
      <x:c r="I14" s="3" t="str">
        <x:v>1周后复诊，评估治疗效果 ｜ 如症状加重，立即就医</x:v>
      </x:c>
      <x:c r="J14" s="3" t="str">
        <x:v>持续压榨样胸痛 ｜ 向左臂和下颌放射 ｜ 伴出汗和轻度气短 ｜ Troponin I升高 ｜ 心电图II、III、aVF导联ST段抬高</x:v>
      </x:c>
      <x:c r="K14" s="3" t="str">
        <x:v>胸痛中心或心内科紧急处理 ｜ 立即启动再灌注和ACS规范治疗 ｜ 监测心律失常和血流动力学 ｜ 评估危险因素二级预防</x:v>
      </x:c>
      <x:c r="L14" s="6" t="str"/>
      <x:c r="M14" s="6" t="str"/>
      <x:c r="N14" s="6" t="str"/>
      <x:c r="O14" s="6" t="str"/>
    </x:row>
    <x:row r="15" ht="78" customHeight="1">
      <x:c r="A15" s="3" t="str">
        <x:v>audit-014</x:v>
      </x:c>
      <x:c r="B15" s="3" t="str">
        <x:v>episode-44-cli</x:v>
      </x:c>
      <x:c r="C15" s="3" t="str">
        <x:v>59岁 女性
主诉：阵发性咳嗽和呼吸困难
病史要点：年龄：59岁 ｜ 性别：女性 ｜ 主诉：阵发性咳嗽和呼吸困难 ｜ 症状：阵发性咳嗽和呼吸困难 ｜ 症状：活动及夜间咳嗽加重 ｜ 症状：近期有发热、咽痛、鼻塞等上呼吸道感染症状 ｜ 既往史：高血压10年，服用依那普利；吸烟史16年，每日半包
既往史：高血压10年，服用依那普利；吸烟史16年，每日半包</x:v>
      </x:c>
      <x:c r="D15" s="3" t="str">
        <x:v>哮喘</x:v>
      </x:c>
      <x:c r="E15" s="3" t="str">
        <x:v>哮喘</x:v>
      </x:c>
      <x:c r="F15" s="3" t="str">
        <x:v>哮喘</x:v>
      </x:c>
      <x:c r="G15" s="3" t="str">
        <x:v>阵发性咳嗽和呼吸困难在活动及夜间加重 ｜ 胸部X线未见异常</x:v>
      </x:c>
      <x:c r="H15" s="3" t="str">
        <x:v>建议使用支气管扩张剂进行治疗，并避免诱发因素。</x:v>
      </x:c>
      <x:c r="I15" s="3" t="str">
        <x:v>请定期复诊以评估病情变化。</x:v>
      </x:c>
      <x:c r="J15" s="3" t="str">
        <x:v>阵发性咳嗽和呼吸困难 ｜ 活动及夜间加重 ｜ 近期有上呼吸道感染症状 ｜ 血压145/95 mmHg；心率78次/分；呼吸18次/分；血氧96% ｜ 双肺弥漫性呼气末哮鸣音 ｜ 胸片正常 ｜ 肺功能示阻塞性通气功能障碍</x:v>
      </x:c>
      <x:c r="K15" s="3" t="str">
        <x:v>呼吸科进一步评估或随访 ｜ 根据当前诊断给予规范化治疗 ｜ 必要时完善进一步检查并评估严重程度 ｜ 监测病情变化并进行风险告知</x:v>
      </x:c>
      <x:c r="L15" s="6" t="str"/>
      <x:c r="M15" s="6" t="str"/>
      <x:c r="N15" s="6" t="str"/>
      <x:c r="O15" s="6" t="str"/>
    </x:row>
    <x:row r="16" ht="78" customHeight="1">
      <x:c r="A16" s="3" t="str">
        <x:v>audit-015</x:v>
      </x:c>
      <x:c r="B16" s="3" t="str">
        <x:v>episode-277-cli</x:v>
      </x:c>
      <x:c r="C16" s="3" t="str">
        <x:v>26岁 女性 护士
主诉：疲劳和下腹痛
病史要点：年龄：26岁 ｜ 性别：女性 ｜ 职业：护士 ｜ 主诉：疲劳和下腹痛 ｜ 病程：2个月 ｜ 症状：持续疲劳 ｜ 症状：数次下腹痛发作 ｜ 症状：高度担心自己患癌并要求诊断性腹腔镜 ｜ 病情特点：请病假2周仍无改善 ｜ 病情特点：工作压力大 ｜ 既往史：6个月前诊断消化性溃疡，服用奥美拉唑 ｜ 否认：一般疲劳和面色苍白 ｜ 否认：左臂静脉走行有多处痂皮 ｜ 否认：腹部查体无异常 ｜ 否认：近端肌无力 ｜ 否认：情绪低落
既往史：6个月前诊断消化性溃疡，服用奥美拉唑</x:v>
      </x:c>
      <x:c r="D16" s="3" t="str">
        <x:v>诈病/人为障碍</x:v>
      </x:c>
      <x:c r="E16" s="3" t="str">
        <x:v>人为障碍 ｜ 诈病样障碍 ｜ Factitious disorder</x:v>
      </x:c>
      <x:c r="F16" s="3" t="str">
        <x:v>当前诊断仍需进一步明确</x:v>
      </x:c>
      <x:c r="G16" s="3" t="str">
        <x:v>年龄：26岁 ｜ 性别：女性 ｜ 职业：护士 ｜ 主诉：疲劳和下腹痛 ｜ 病程：2个月 ｜ 症状：持续疲劳</x:v>
      </x:c>
      <x:c r="H16" s="3" t="str">
        <x:v>先给予对症处理。 ｜ 交代危险信号，如症状加重及时复诊或急诊就医。</x:v>
      </x:c>
      <x:c r="I16" s="3" t="str">
        <x:v>如症状加重应立即就医。 ｜ 按医嘱完成复查或复诊。</x:v>
      </x:c>
      <x:c r="J16" s="3" t="str">
        <x:v>强烈要求侵入性检查 ｜ 症状与客观检查不匹配 ｜ 静脉走行痂皮提示可能自我操作 ｜ 贫血伴高网织红细胞而无失血来源</x:v>
      </x:c>
      <x:c r="K16" s="3" t="str">
        <x:v>建立单一照护团队 ｜ 避免不必要侵入性检查 ｜ 精神科评估 ｜ 以支持性非对抗方式沟通</x:v>
      </x:c>
      <x:c r="L16" s="6" t="str"/>
      <x:c r="M16" s="6" t="str"/>
      <x:c r="N16" s="6" t="str"/>
      <x:c r="O16" s="6" t="str"/>
    </x:row>
    <x:row r="17" ht="78" customHeight="1">
      <x:c r="A17" s="3" t="str">
        <x:v>audit-016</x:v>
      </x:c>
      <x:c r="B17" s="3" t="str">
        <x:v>episode-86-cli</x:v>
      </x:c>
      <x:c r="C17" s="3" t="str">
        <x:v>65岁 女性
主诉：左手手背存在粗糙、鳞屑样、砂纸样斑块
病史要点：年龄：65岁 ｜ 性别：女性 ｜ 主诉：左手手背存在粗糙、鳞屑样、砂纸样斑块 ｜ 症状：左手手背存在粗糙、鳞屑样、砂纸样斑块 ｜ 症状：无压痛 ｜ 症状：无疼痛 ｜ 既往史：糖尿病、高血压 ｜ 吸烟史：不吸烟
既往史：糖尿病、高血压</x:v>
      </x:c>
      <x:c r="D17" s="3" t="str">
        <x:v>日光性角化病</x:v>
      </x:c>
      <x:c r="E17" s="3" t="str">
        <x:v>日光性角化病</x:v>
      </x:c>
      <x:c r="F17" s="3" t="str">
        <x:v>日光性角化病</x:v>
      </x:c>
      <x:c r="G17" s="3" t="str">
        <x:v>皮肤活检：可见角化过度、角化不全、日光性弹力纤维变性，以及局限于表皮内的异型角质形成细胞，符合日光性角化病</x:v>
      </x:c>
      <x:c r="H17" s="3" t="str">
        <x:v>建议定期随访，监测病变变化 ｜ 避免长时间暴露于阳光下 ｜ 可考虑局部治疗如外用维A酸类药物</x:v>
      </x:c>
      <x:c r="I17" s="3" t="str">
        <x:v>建议1个月后复诊 ｜ 如有新发或变化的皮肤病变及时就诊</x:v>
      </x:c>
      <x:c r="J17" s="3" t="str">
        <x:v>左手手背存在粗糙、鳞屑样、砂纸样斑块 ｜ 无压痛 ｜ 无疼痛 ｜ 体温：36.8°C (98.2°F)；血压：130/85 mmHg；心率：72 次/分；呼吸频率：14 次/分 ｜ 左手手背可见粗糙鳞屑样斑块，触诊无压痛 ｜ 皮肤活检示角化过度、角化不全、日光性弹力纤维变性及表皮内异型角质形成细胞</x:v>
      </x:c>
      <x:c r="K17" s="3" t="str">
        <x:v>相关专科进一步评估或随访 ｜ 根据当前诊断给予规范化对症治疗 ｜ 必要时完善进一步检查并评估严重程度 ｜ 监测病情变化并进行风险告知</x:v>
      </x:c>
      <x:c r="L17" s="6" t="str"/>
      <x:c r="M17" s="6" t="str"/>
      <x:c r="N17" s="6" t="str"/>
      <x:c r="O17" s="6" t="str"/>
    </x:row>
    <x:row r="18" ht="78" customHeight="1">
      <x:c r="A18" s="3" t="str">
        <x:v>audit-017</x:v>
      </x:c>
      <x:c r="B18" s="3" t="str">
        <x:v>episode-513-cli</x:v>
      </x:c>
      <x:c r="C18" s="3" t="str">
        <x:v>45岁 男性 教师
主诉：持续咳嗽
病史要点：年龄：45岁 ｜ 性别：男性 ｜ 职业：教师 ｜ 主诉：持续咳嗽 ｜ 病程：3周 ｜ 症状：持续咳嗽 ｜ 症状：间歇性发热 ｜ 症状：疲劳 ｜ 症状：夜汗 ｜ 症状：偶有黄痰 ｜ 病情特点：以夜间或傍晚发热为主 ｜ 病情特点：无胸痛 ｜ 病情特点：无咯血 ｜ 病情特点：无体重下降 ｜ 既往史：儿童期哮喘，但近期无明显发作。 ｜ 吸烟史：不吸烟 ｜ 饮酒史：不饮酒 ｜ 否认：无胸痛 ｜ 否认：无咯血 ｜ 否认：无近期旅行史 ｜ 否认：无结核明确接触史
既往史：儿童期哮喘，但近期无明显发作。</x:v>
      </x:c>
      <x:c r="D18" s="3" t="str">
        <x:v>肺结核</x:v>
      </x:c>
      <x:c r="E18" s="3" t="str">
        <x:v>肺结核 ｜ 结核病</x:v>
      </x:c>
      <x:c r="F18" s="3" t="str">
        <x:v>肺结核</x:v>
      </x:c>
      <x:c r="G18" s="3" t="str">
        <x:v>痰涂片：AFB Stain：可见抗酸杆菌 ｜ 血液检查：WBC：11,500 /μL (elevated)</x:v>
      </x:c>
      <x:c r="H18" s="3" t="str">
        <x:v>开始抗结核药物治疗 ｜ 安排定期随访以评估治疗效果</x:v>
      </x:c>
      <x:c r="I18" s="3" t="str">
        <x:v>建议在治疗开始后2周进行复查 ｜ 如症状无改善，需进一步评估</x:v>
      </x:c>
      <x:c r="J18" s="3" t="str">
        <x:v>持续咳嗽3周 ｜ 间歇性发热和夜汗 ｜ 疲劳 ｜ 双上肺体征 ｜ 胸片双上肺浸润 ｜ 痰抗酸杆菌阳性</x:v>
      </x:c>
      <x:c r="K18" s="3" t="str">
        <x:v>呼吸科或感染科进一步评估或随访 ｜ 进行隔离并启动规范抗结核治疗评估 ｜ 开展痰培养/核酸检测及密切接触者管理 ｜ 监测药物不良反应和治疗依从性</x:v>
      </x:c>
      <x:c r="L18" s="6" t="str"/>
      <x:c r="M18" s="6" t="str"/>
      <x:c r="N18" s="6" t="str"/>
      <x:c r="O18" s="6" t="str"/>
    </x:row>
    <x:row r="19" ht="78" customHeight="1">
      <x:c r="A19" s="3" t="str">
        <x:v>audit-018</x:v>
      </x:c>
      <x:c r="B19" s="3" t="str">
        <x:v>episode-256-cli</x:v>
      </x:c>
      <x:c r="C19" s="3" t="str">
        <x:v>65岁 男性
主诉：手臂僵硬，抬不起来
病史要点：年龄：65岁 ｜ 性别：男性 ｜ 主诉：手臂僵硬，抬不起来 ｜ 病程：数月 ｜ 症状：手臂僵硬 ｜ 症状：梳头困难 ｜ 症状：够高处物品困难 ｜ 症状：肩关节活动度下降 ｜ 病情特点：久坐少动 ｜ 既往史：2型糖尿病、肥胖、高血压；服用二甲双胍、胰岛素、赖诺普利、氢氯噻嗪 ｜ 否认：无近期损伤或外伤 ｜ 否认：无发热 ｜ 否认：无体重下降 ｜ 否认：无其他关节受累
既往史：2型糖尿病、肥胖、高血压；服用二甲双胍、胰岛素、赖诺普利、氢氯噻嗪</x:v>
      </x:c>
      <x:c r="D19" s="3" t="str">
        <x:v>黏连性关节囊炎</x:v>
      </x:c>
      <x:c r="E19" s="3" t="str">
        <x:v>黏连性关节囊炎 ｜ 冻结肩</x:v>
      </x:c>
      <x:c r="F19" s="3" t="str">
        <x:v>黏连性关节囊炎（冻结肩）</x:v>
      </x:c>
      <x:c r="G19" s="3" t="str">
        <x:v>肩关节X线无急性骨性异常，关节间隙稍减少，但无明显骨关节炎改变。</x:v>
      </x:c>
      <x:c r="H19" s="3" t="str">
        <x:v>立即启动分期康复方案：疼痛期使用NSAIDs+关节腔注射+钟摆运动。</x:v>
      </x:c>
      <x:c r="I19" s="3" t="str">
        <x:v>预约4-6周随访评估活动度改善情况。</x:v>
      </x:c>
      <x:c r="J19" s="3" t="str">
        <x:v>糖尿病背景 ｜ 肩痛和僵硬 ｜ 主动被动活动度均受限 ｜ 日常梳头上举困难 ｜ X线无明显其他病变</x:v>
      </x:c>
      <x:c r="K19" s="3" t="str">
        <x:v>康复/骨科评估 ｜ 物理治疗和关节活动训练 ｜ 止痛及关节腔注射评估 ｜ 控制血糖</x:v>
      </x:c>
      <x:c r="L19" s="6" t="str"/>
      <x:c r="M19" s="6" t="str"/>
      <x:c r="N19" s="6" t="str"/>
      <x:c r="O19" s="6" t="str"/>
    </x:row>
    <x:row r="20" ht="78" customHeight="1">
      <x:c r="A20" s="3" t="str">
        <x:v>audit-019</x:v>
      </x:c>
      <x:c r="B20" s="3" t="str">
        <x:v>episode-593-cli</x:v>
      </x:c>
      <x:c r="C20" s="3" t="str">
        <x:v>45岁 男性 教师
主诉：持续性干咳
病史要点：年龄：45岁 ｜ 性别：男性 ｜ 职业：教师 ｜ 主诉：持续性干咳 ｜ 病程：3周 ｜ 症状：持续性干咳 ｜ 症状：夜间加重 ｜ 症状：轻度活动后气短 ｜ 病情特点：无发热 ｜ 病情特点：无胸痛 ｜ 既往史：有季节性过敏史，无哮喘或慢阻肺病史 ｜ 吸烟史：不吸烟 ｜ 饮酒史：不饮酒 ｜ 否认：无盗汗 ｜ 否认：无咯血 ｜ 否认：无不明原因体重下降
既往史：有季节性过敏史，无哮喘或慢阻肺病史</x:v>
      </x:c>
      <x:c r="D20" s="3" t="str">
        <x:v>上气道咳嗽综合征（过敏相关）</x:v>
      </x:c>
      <x:c r="E20" s="3" t="str">
        <x:v>上气道咳嗽综合征 ｜ 过敏相关鼻后滴流综合征 ｜ 过敏性鼻炎相关咳嗽</x:v>
      </x:c>
      <x:c r="F20" s="3" t="str">
        <x:v>当前诊断仍需进一步明确</x:v>
      </x:c>
      <x:c r="G20" s="3" t="str">
        <x:v>年龄：45岁 ｜ 性别：男性 ｜ 职业：教师 ｜ 主诉：持续性干咳 ｜ 病程：3周 ｜ 症状：持续性干咳</x:v>
      </x:c>
      <x:c r="H20" s="3" t="str">
        <x:v>先给予对症处理。 ｜ 交代危险信号，如症状加重及时复诊或急诊就医。</x:v>
      </x:c>
      <x:c r="I20" s="3" t="str">
        <x:v>如症状加重应立即就医。 ｜ 按医嘱完成复查或复诊。</x:v>
      </x:c>
      <x:c r="J20" s="3" t="str">
        <x:v>夜间干咳 ｜ 轻度活动后气短 ｜ 过敏史 ｜ 胸片正常 ｜ 过敏原阳性 ｜ 无明显肺部阳性体征</x:v>
      </x:c>
      <x:c r="K20" s="3" t="str">
        <x:v>抗过敏和鼻后滴流治疗评估 ｜ 门诊随访 ｜ 环境控制 ｜ 必要时呼吸/耳鼻喉专科评估</x:v>
      </x:c>
      <x:c r="L20" s="6" t="str"/>
      <x:c r="M20" s="6" t="str"/>
      <x:c r="N20" s="6" t="str"/>
      <x:c r="O20" s="6" t="str"/>
    </x:row>
    <x:row r="21" ht="78" customHeight="1">
      <x:c r="A21" s="3" t="str">
        <x:v>audit-020</x:v>
      </x:c>
      <x:c r="B21" s="3" t="str">
        <x:v>episode-79-cli</x:v>
      </x:c>
      <x:c r="C21" s="3" t="str">
        <x:v>22岁 女性
主诉：发热
病史要点：年龄：22岁 ｜ 性别：女性 ｜ 主诉：发热 ｜ 症状：发热 ｜ 症状：头痛 ｜ 症状：食欲减退 ｜ 症状：乏力 ｜ 症状：全身不适 ｜ 既往史：既往无特殊。患者目前妊娠30周 ｜ 吸烟史：不吸烟
既往史：既往无特殊。患者目前妊娠30周</x:v>
      </x:c>
      <x:c r="D21" s="3" t="str">
        <x:v>李斯特菌病</x:v>
      </x:c>
      <x:c r="E21" s="3" t="str">
        <x:v>李斯特菌病</x:v>
      </x:c>
      <x:c r="F21" s="3" t="str">
        <x:v>妊娠期李斯特菌病</x:v>
      </x:c>
      <x:c r="G21" s="3" t="str">
        <x:v>患者妊娠期女性，发热3天，体温38.5℃，伴头痛、全身不适。 ｜ 血培养：可见过氧化氢酶阳性的革兰阳性杆菌，液体培养中有特征性翻滚运动（提示产单核细胞李斯特菌）。 ｜ 实验室检查：白细胞计数15000/μL（升高）。 ｜ 体格检查：胎心可闻及，无子宫压痛；神经系统查体未见明显定位体征。</x:v>
      </x:c>
      <x:c r="H21" s="3" t="str">
        <x:v>住院治疗：建议立即收治入院进行隔离及系统治疗。 ｜ 抗感染治疗：首选氨苄西林静脉滴注（需询问过敏史，必要时皮试）；若青霉素过敏，可考虑红霉素或复方磺胺甲噁唑（需权衡妊娠风险）。 ｜ 产科监护：密切监测胎心、胎动及宫缩情况，警惕流产、早产或死胎风险。 ｜ 对症支持：给予退热、补液等支持治疗，维持水电解质平衡。</x:v>
      </x:c>
      <x:c r="I21" s="3" t="str">
        <x:v>治疗期间定期复查血常规、C反应蛋白等炎症指标。 ｜ 复查血培养以确认细菌清除情况。 ｜ 完善产科超声评估胎儿宫内安危及发育情况。 ｜ 若出现剧烈头痛、呕吐、颈项强直或意识改变，需警惕李斯特菌脑膜炎并及时处理。</x:v>
      </x:c>
      <x:c r="J21" s="3" t="str">
        <x:v>发热 ｜ 头痛 ｜ 食欲减退 ｜ 乏力 ｜ 体温38.5°C；血压110/70 mmHg；心率88次/分；呼吸频率18次/分 ｜ 妊娠30周，无子宫压痛，胎心存在 ｜ 血培养见过氧化氢酶阳性革兰阳性杆菌并有翻滚运动 ｜ 白细胞升高</x:v>
      </x:c>
      <x:c r="K21" s="3" t="str">
        <x:v>感染科及产科进一步评估或随访 ｜ 根据当前诊断给予规范化抗感染治疗 ｜ 必要时完善进一步检查并评估严重程度 ｜ 监测母胎情况并进行风险告知</x:v>
      </x:c>
      <x:c r="L21" s="6" t="str"/>
      <x:c r="M21" s="6" t="str"/>
      <x:c r="N21" s="6" t="str"/>
      <x:c r="O21" s="6" t="str"/>
    </x:row>
    <x:row r="22" ht="78" customHeight="1">
      <x:c r="A22" s="3" t="str">
        <x:v>audit-021</x:v>
      </x:c>
      <x:c r="B22" s="3" t="str">
        <x:v>episode-20-cli</x:v>
      </x:c>
      <x:c r="C22" s="3" t="str">
        <x:v>34岁 男性
主诉：右眼视力下降并见黑影
病史要点：年龄：34岁 ｜ 性别：男性 ｜ 主诉：右眼视力下降并见黑影 ｜ 症状：右眼视力下降并见黑影 ｜ 症状：无疼痛 ｜ 症状：左眼无症状 ｜ 既往史：艾滋病、真菌性食管炎曾用氟康唑治疗、Kaposi肉瘤
既往史：艾滋病、真菌性食管炎曾用氟康唑治疗、Kaposi肉瘤</x:v>
      </x:c>
      <x:c r="D22" s="3" t="str">
        <x:v>巨细胞病毒性视网膜炎</x:v>
      </x:c>
      <x:c r="E22" s="3" t="str">
        <x:v>巨细胞病毒性视网膜炎</x:v>
      </x:c>
      <x:c r="F22" s="3" t="str">
        <x:v>结节病</x:v>
      </x:c>
      <x:c r="G22" s="3" t="str">
        <x:v>右眼视力下降伴黑影（葡萄膜炎表现） ｜ 颈部淋巴结肿大 ｜ 躯干及四肢多发紫红色斑块</x:v>
      </x:c>
      <x:c r="H22" s="3" t="str">
        <x:v>眼部局部使用糖皮质激素滴眼液治疗葡萄膜炎 ｜ 建议转诊呼吸内科或皮肤科进一步评估全身状况 ｜ 择期完善胸部影像学及皮肤病理检查</x:v>
      </x:c>
      <x:c r="I22" s="3" t="str">
        <x:v>1周后眼科门诊复查视力及眼底情况 ｜ 观察皮肤病变变化，如有新发症状及时就诊</x:v>
      </x:c>
      <x:c r="J22" s="3" t="str">
        <x:v>右眼视力下降并见黑影 ｜ 无疼痛 ｜ 左眼无症状 ｜ 体温37°C；血压110/70 mmHg；心率89次/分 ｜ 颈部淋巴结肿大；躯干及四肢多发紫红色斑块 ｜ 眼底检查见视网膜血管周围颗粒状黄白色混浊影及点片状出血 ｜ CD4 T淋巴细胞计数36/mm3</x:v>
      </x:c>
      <x:c r="K22" s="3" t="str">
        <x:v>眼科及感染科进一步评估或随访 ｜ 根据当前诊断给予规范化抗病毒及对症治疗 ｜ 必要时完善进一步检查并评估严重程度 ｜ 监测病情变化并进行风险告知</x:v>
      </x:c>
      <x:c r="L22" s="6" t="str"/>
      <x:c r="M22" s="6" t="str"/>
      <x:c r="N22" s="6" t="str"/>
      <x:c r="O22" s="6" t="str"/>
    </x:row>
    <x:row r="23" ht="78" customHeight="1">
      <x:c r="A23" s="3" t="str">
        <x:v>audit-022</x:v>
      </x:c>
      <x:c r="B23" s="3" t="str">
        <x:v>episode-558-cli</x:v>
      </x:c>
      <x:c r="C23" s="3" t="str">
        <x:v>40岁 男性 学校教师
主诉：慢性咳嗽
病史要点：年龄：40岁 ｜ 性别：男性 ｜ 职业：学校教师 ｜ 主诉：慢性咳嗽 ｜ 病程：3个月 ｜ 症状：慢性干咳 ｜ 症状：哮鸣 ｜ 症状：活动后气短 ｜ 病情特点：夜间加重影响睡眠 ｜ 病情特点：冷空气暴露后加重 ｜ 病情特点：无发热 ｜ 病情特点：无体重下降 ｜ 病情特点：无盗汗 ｜ 既往史：过敏性鼻炎和5年前诊断的轻度哮喘。无住院史或手术史。 ｜ 吸烟史：不吸烟 ｜ 饮酒史：社交性饮酒 ｜ 否认：无胸痛 ｜ 否认：无咯血 ｜ 否认：无胃肠道症状
既往史：过敏性鼻炎和5年前诊断的轻度哮喘。无住院史或手术史。</x:v>
      </x:c>
      <x:c r="D23" s="3" t="str">
        <x:v>支气管哮喘</x:v>
      </x:c>
      <x:c r="E23" s="3" t="str">
        <x:v>支气管哮喘 ｜ 哮喘</x:v>
      </x:c>
      <x:c r="F23" s="3" t="str">
        <x:v>哮喘</x:v>
      </x:c>
      <x:c r="G23" s="3" t="str">
        <x:v>肺功能检查结果：FEV1/FVC下降，支气管舒张后FEV1明显改善 ｜ 过敏检测结果：Positive for dust mites</x:v>
      </x:c>
      <x:c r="H23" s="3" t="str">
        <x:v>建议使用吸入型支气管扩张剂和抗炎药物治疗哮喘 ｜ 避免接触尘螨等过敏原 ｜ 定期随访评估病情控制情况</x:v>
      </x:c>
      <x:c r="I23" s="3" t="str">
        <x:v>建议2周后复诊评估治疗效果 ｜ 如症状加重或出现呼吸困难，立即就医</x:v>
      </x:c>
      <x:c r="J23" s="3" t="str">
        <x:v>慢性干咳3个月 ｜ 夜间加重 ｜ 冷空气诱发 ｜ 既往哮喘和过敏性鼻炎病史 ｜ 双肺呼气相哮鸣音 ｜ 胸片正常 ｜ 支气管舒张后FEV1明显改善 ｜ 尘螨过敏阳性</x:v>
      </x:c>
      <x:c r="K23" s="3" t="str">
        <x:v>呼吸内科进一步评估或随访 ｜ 给予吸入激素和支气管扩张治疗 ｜ 进行过敏原回避教育 ｜ 监测夜间症状和峰流速</x:v>
      </x:c>
      <x:c r="L23" s="6" t="str"/>
      <x:c r="M23" s="6" t="str"/>
      <x:c r="N23" s="6" t="str"/>
      <x:c r="O23" s="6" t="str"/>
    </x:row>
    <x:row r="24" ht="78" customHeight="1">
      <x:c r="A24" s="3" t="str">
        <x:v>audit-023</x:v>
      </x:c>
      <x:c r="B24" s="3" t="str">
        <x:v>episode-600-cli</x:v>
      </x:c>
      <x:c r="C24" s="3" t="str">
        <x:v>45岁 男性 建筑工人
主诉：持续性咳嗽伴气短
病史要点：年龄：45岁 ｜ 性别：男性 ｜ 职业：建筑工人 ｜ 主诉：持续性咳嗽伴气短 ｜ 病程：3周 ｜ 症状：持续性咳嗽 ｜ 症状：气短 ｜ 症状：喘鸣 ｜ 症状：胸闷 ｜ 症状：吸入药使用增加 ｜ 病情特点：夜间加重 ｜ 病情特点：无发热 ｜ 病情特点：无明显咳痰 ｜ 病情特点：无明显体重下降 ｜ 既往史：10年前诊断哮喘，伴季节性过敏性鼻炎，近1年未住院 ｜ 吸烟史：吸烟，10包年 ｜ 饮酒史：未提及 ｜ 否认：无咯血
既往史：10年前诊断哮喘，伴季节性过敏性鼻炎，近1年未住院</x:v>
      </x:c>
      <x:c r="D24" s="3" t="str">
        <x:v>哮喘加重</x:v>
      </x:c>
      <x:c r="E24" s="3" t="str">
        <x:v>哮喘加重 ｜ 支气管哮喘急性加重</x:v>
      </x:c>
      <x:c r="F24" s="3" t="str">
        <x:v>过敏性哮喘</x:v>
      </x:c>
      <x:c r="G24" s="3" t="str">
        <x:v>体格检查类: 呼气相哮鸣音明显，呼气延长，肺底呼吸音减低 ｜ 实验室检查类: 过敏原检测显示尘螨和豚草阳性</x:v>
      </x:c>
      <x:c r="H24" s="3" t="str">
        <x:v>建议避免接触尘螨和豚草等过敏原 ｜ 开具吸入型支气管扩张剂和抗炎药物治疗 ｜ 定期随访评估病情变化</x:v>
      </x:c>
      <x:c r="I24" s="3" t="str">
        <x:v>建议在两周后复诊，评估治疗效果和症状改善情况</x:v>
      </x:c>
      <x:c r="J24" s="3" t="str">
        <x:v>既往哮喘史 ｜ 近期咳嗽气短加重 ｜ 胸闷和喘鸣 ｜ 吸入药使用增加 ｜ 呼气相哮鸣音 ｜ 过敏原阳性</x:v>
      </x:c>
      <x:c r="K24" s="3" t="str">
        <x:v>评估吸入支扩剂和激素治疗 ｜ 避免诱发因素 ｜ 必要时短期强化治疗 ｜ 门急诊随访</x:v>
      </x:c>
      <x:c r="L24" s="6" t="str"/>
      <x:c r="M24" s="6" t="str"/>
      <x:c r="N24" s="6" t="str"/>
      <x:c r="O24" s="6" t="str"/>
    </x:row>
    <x:row r="25" ht="78" customHeight="1">
      <x:c r="A25" s="3" t="str">
        <x:v>audit-024</x:v>
      </x:c>
      <x:c r="B25" s="3" t="str">
        <x:v>episode-59-cli</x:v>
      </x:c>
      <x:c r="C25" s="3" t="str">
        <x:v>69岁 男性
主诉：左足大脚趾、髋部和膝部疼痛
病史要点：年龄：69岁 ｜ 性别：男性 ｜ 主诉：左足大脚趾、髋部和膝部疼痛 ｜ 症状：左足大脚趾、髋部和膝部疼痛 ｜ 症状：活动后加重 ｜ 症状：休息后缓解 ｜ 既往史：肥胖、2型糖尿病、吸烟史、高血压
既往史：肥胖、2型糖尿病、吸烟史、高血压</x:v>
      </x:c>
      <x:c r="D25" s="3" t="str">
        <x:v>骨关节炎</x:v>
      </x:c>
      <x:c r="E25" s="3" t="str">
        <x:v>骨关节炎</x:v>
      </x:c>
      <x:c r="F25" s="3" t="str">
        <x:v>骨关节炎</x:v>
      </x:c>
      <x:c r="G25" s="3" t="str">
        <x:v>多关节钝痛（左足大脚趾、髋部、膝部），逐渐加重 ｜ 晨僵明显，活动后缓解 ｜ 第一跖趾关节压痛但无红肿 ｜ 尿酸6 mg/dL正常，排除痛风 ｜ 髋关节及膝关节X线：关节间隙变窄并伴骨赘形成</x:v>
      </x:c>
      <x:c r="H25" s="3" t="str">
        <x:v>口服非甾体抗炎药（如塞来昔布或艾瑞昔布）缓解疼痛和炎症 ｜ 关节腔注射透明质酸或糖皮质激素（如症状较重） ｜ 物理治疗：热敷、超声波、电疗等改善局部血液循环 ｜ 运动康复：低强度有氧运动（游泳、骑自行车）、关节周围肌肉力量训练 ｜ 生活方式调整：控制体重，减少关节负重活动，使用手杖或助行器辅助行走 ｜ 必要时可考虑第一跖趾关节、髋关节或膝关节的矫形支具</x:v>
      </x:c>
      <x:c r="I25" s="3" t="str">
        <x:v>4-6周后门诊复查，评估症状改善情况及药物不良反应 ｜ 如症状持续加重或出现关节畸形，需进一步行MRI评估软骨及软组织情况 ｜ 长期随访，监测关节功能变化，必要时评估手术治疗指征（如关节置换）</x:v>
      </x:c>
      <x:c r="J25" s="3" t="str">
        <x:v>左足大脚趾、髋部和膝部疼痛 ｜ 活动后加重，休息后缓解 ｜ 体温36.8°C；血压135/85 mmHg；心率78次/分；呼吸频率14次/分 ｜ 多关节压痛，无明显红肿；髋关节活动时有摩擦感 ｜ X线示关节间隙狭窄及骨赘形成 ｜ 尿酸正常</x:v>
      </x:c>
      <x:c r="K25" s="3" t="str">
        <x:v>骨科或风湿科进一步评估或随访 ｜ 根据当前诊断给予规范化对症治疗 ｜ 必要时完善进一步检查并评估严重程度 ｜ 监测病情变化并进行风险告知</x:v>
      </x:c>
      <x:c r="L25" s="6" t="str"/>
      <x:c r="M25" s="6" t="str"/>
      <x:c r="N25" s="6" t="str"/>
      <x:c r="O25" s="6" t="str"/>
    </x:row>
    <x:row r="26" ht="78" customHeight="1">
      <x:c r="A26" s="3" t="str">
        <x:v>audit-025</x:v>
      </x:c>
      <x:c r="B26" s="3" t="str">
        <x:v>episode-556-cli</x:v>
      </x:c>
      <x:c r="C26" s="3" t="str">
        <x:v>55岁 男性 仓库经理
主诉：持续咳痰和气短
病史要点：年龄：55岁 ｜ 性别：男性 ｜ 职业：仓库经理 ｜ 主诉：持续咳痰和气短 ｜ 病程：3个月 ｜ 症状：持续咳痰 ｜ 症状：气短 ｜ 症状：哮鸣 ｜ 症状：胸闷 ｜ 病情特点：黄痰 ｜ 病情特点：症状逐渐加重 ｜ 病情特点：无胸痛 ｜ 病情特点：无发热 ｜ 病情特点：无盗汗 ｜ 病情特点：无体重下降 ｜ 既往史：长期吸烟40包年，既往多次因支气管炎治疗。 ｜ 吸烟史：当前或长期吸烟40包年 ｜ 饮酒史：社交性饮酒 ｜ 否认：无发热 ｜ 否认：无盗汗 ｜ 否认：无咯血 ｜ 否认：无体重下降
既往史：长期吸烟40包年，既往多次因支气管炎治疗。</x:v>
      </x:c>
      <x:c r="D26" s="3" t="str">
        <x:v>慢性阻塞性肺疾病</x:v>
      </x:c>
      <x:c r="E26" s="3" t="str">
        <x:v>慢性阻塞性肺疾病 ｜ COPD</x:v>
      </x:c>
      <x:c r="F26" s="3" t="str">
        <x:v>慢性阻塞性肺疾病</x:v>
      </x:c>
      <x:c r="G26" s="3" t="str">
        <x:v>胸部X线：双肺过度充气，膈肌变平，未见急性浸润。 ｜ 肺功能检查：FEV1为60%预测值，FVC为80%预测值，FEV1/FVC比值为0.60。</x:v>
      </x:c>
      <x:c r="H26" s="3" t="str">
        <x:v>建议戒烟并避免接触有害气体。 ｜ 开具支气管扩张剂以缓解症状。 ｜ 定期随访肺功能和症状变化。</x:v>
      </x:c>
      <x:c r="I26" s="3" t="str">
        <x:v>建议在3个月内复查肺功能和症状评估。</x:v>
      </x:c>
      <x:c r="J26" s="3" t="str">
        <x:v>持续咳痰和气短 ｜ 胸闷和弥漫性哮鸣 ｜ 长期重度吸烟史 ｜ 呼气相延长 ｜ 胸片示过度充气和膈肌变平 ｜ 肺功能FEV1/FVC 0.60</x:v>
      </x:c>
      <x:c r="K26" s="3" t="str">
        <x:v>呼吸内科进一步评估或随访 ｜ 规范吸入治疗和戒烟干预 ｜ 评估低氧血症和肺康复 ｜ 监测急性加重</x:v>
      </x:c>
      <x:c r="L26" s="6" t="str"/>
      <x:c r="M26" s="6" t="str"/>
      <x:c r="N26" s="6" t="str"/>
      <x:c r="O26" s="6" t="str"/>
    </x:row>
    <x:row r="27" ht="78" customHeight="1">
      <x:c r="A27" s="3" t="str">
        <x:v>audit-026</x:v>
      </x:c>
      <x:c r="B27" s="3" t="str">
        <x:v>episode-10-cli</x:v>
      </x:c>
      <x:c r="C27" s="3" t="str">
        <x:v>45岁 女性
主诉：每日排便时直肠出血
病史要点：年龄：45岁 ｜ 性别：女性 ｜ 主诉：每日排便时直肠出血 ｜ 症状：每日排便时直肠出血 ｜ 症状：排便时无疼痛 ｜ 既往史：既往病史无特殊，仅有5次正常阴道分娩史
既往史：既往病史无特殊，仅有5次正常阴道分娩史</x:v>
      </x:c>
      <x:c r="D27" s="3" t="str">
        <x:v>痔疮</x:v>
      </x:c>
      <x:c r="E27" s="3" t="str">
        <x:v>痔疮</x:v>
      </x:c>
      <x:c r="F27" s="3" t="str">
        <x:v>内痔</x:v>
      </x:c>
      <x:c r="G27" s="3" t="str">
        <x:v>无痛性鲜红色便血 ｜ 肛门直肠查体触及无压痛、脱出的肿物，可轻易推回肛门括约肌内</x:v>
      </x:c>
      <x:c r="H27" s="3" t="str">
        <x:v>调整饮食结构，增加膳食纤维摄入，保持大便通畅 ｜ 便后温水坐浴，保持肛门清洁 ｜ 局部应用痔疮膏或栓剂治疗 ｜ 必要时可行硬化剂注射或手术治疗</x:v>
      </x:c>
      <x:c r="I27" s="3" t="str">
        <x:v>建议改善生活习惯，若出现出血量增多、肿物脱出无法回纳或疼痛加剧，请及时复诊。</x:v>
      </x:c>
      <x:c r="J27" s="3" t="str">
        <x:v>每日排便时直肠出血 ｜ 排便时无疼痛 ｜ 体温36.7°C；血压115/85 mmHg；心率72次/分；呼吸频率15次/分 ｜ 可触及无压痛、脱出的肿物，且可轻易推回肛门内 ｜ 白细胞计数正常；血红蛋白正常；血小板正常 ｜ 肛门镜可见内痔</x:v>
      </x:c>
      <x:c r="K27" s="3" t="str">
        <x:v>肛肠外科进一步评估或随访 ｜ 根据当前诊断给予规范化对症治疗 ｜ 必要时完善进一步检查并评估严重程度 ｜ 监测病情变化并进行风险告知</x:v>
      </x:c>
      <x:c r="L27" s="6" t="str"/>
      <x:c r="M27" s="6" t="str"/>
      <x:c r="N27" s="6" t="str"/>
      <x:c r="O27" s="6" t="str"/>
    </x:row>
    <x:row r="28" ht="78" customHeight="1">
      <x:c r="A28" s="3" t="str">
        <x:v>audit-027</x:v>
      </x:c>
      <x:c r="B28" s="3" t="str">
        <x:v>episode-142-cli</x:v>
      </x:c>
      <x:c r="C28" s="3" t="str">
        <x:v>34岁 男性
主诉：右眼视力下降并见黑点
病史要点：年龄：34岁 ｜ 性别：男性 ｜ 主诉：右眼视力下降并见黑点 ｜ 病程：2天 ｜ 症状：右眼视力下降 ｜ 症状：右眼见黑点飘动 ｜ 症状：无疼痛 ｜ 症状：左眼无症状 ｜ 病情特点：艾滋病病史 ｜ 病情特点：6个月前治疗过真菌性食管炎 ｜ 病情特点：2年前诊断Kaposi肉瘤 ｜ 既往史：艾滋病、真菌性食管炎、Kaposi肉瘤
既往史：艾滋病、真菌性食管炎、Kaposi肉瘤</x:v>
      </x:c>
      <x:c r="D28" s="3" t="str">
        <x:v>巨细胞病毒性视网膜炎</x:v>
      </x:c>
      <x:c r="E28" s="3" t="str">
        <x:v>巨细胞病毒性视网膜炎 ｜ CMV视网膜炎</x:v>
      </x:c>
      <x:c r="F28" s="3" t="str">
        <x:v>视网膜病变</x:v>
      </x:c>
      <x:c r="G28" s="3" t="str">
        <x:v>右眼视力下降和黑点飘动的症状持续两天，体格检查显示视网膜血管周围可见颗粒状黄白色混浊影及多处点片状出血。</x:v>
      </x:c>
      <x:c r="H28" s="3" t="str">
        <x:v>建议尽快进行眼科进一步检查，如眼底荧光造影或光学相干断层扫描（OCT）以明确诊断。</x:v>
      </x:c>
      <x:c r="I28" s="3" t="str">
        <x:v>请预约眼科专科医生进行详细检查，并注意观察症状变化。</x:v>
      </x:c>
      <x:c r="J28" s="3" t="str">
        <x:v>AIDS背景 ｜ 右眼视力下降和黑点飘动 ｜ 无眼痛 ｜ CD4计数极低（36/mm3） ｜ 眼底：视网膜血管周围黄白色混浊影和出血 ｜ 伴Kaposi肉瘤及机会性感染病史</x:v>
      </x:c>
      <x:c r="K28" s="3" t="str">
        <x:v>眼科和感染科紧急评估 ｜ 尽快给予抗CMV治疗 ｜ 评估抗病毒方案和免疫重建情况 ｜ 监测对侧眼和视力恶化风险</x:v>
      </x:c>
      <x:c r="L28" s="6" t="str"/>
      <x:c r="M28" s="6" t="str"/>
      <x:c r="N28" s="6" t="str"/>
      <x:c r="O28" s="6" t="str"/>
    </x:row>
    <x:row r="29" ht="78" customHeight="1">
      <x:c r="A29" s="3" t="str">
        <x:v>audit-028</x:v>
      </x:c>
      <x:c r="B29" s="3" t="str">
        <x:v>episode-435-cli</x:v>
      </x:c>
      <x:c r="C29" s="3" t="str">
        <x:v>62岁 女性 未提供
主诉：背部和臀部结节
病史要点：年龄：62岁 ｜ 性别：女性 ｜ 职业：未提供 ｜ 主诉：背部和臀部结节 ｜ 病程：近期 ｜ 症状：背部瘙痒性结节 ｜ 症状：臀部瘙痒性结节 ｜ 症状：结节有流液 ｜ 病情特点：结节中央有开口 ｜ 病情特点：近期去过哥伦比亚 ｜ 病情特点：使用抗生素后无改善 ｜ 既往史：未提供。 ｜ 吸烟史：未提供 ｜ 饮酒史：未提供 ｜ 否认：抗生素治疗后无改善
既往史：未提供。</x:v>
      </x:c>
      <x:c r="D29" s="3" t="str">
        <x:v>蝇蛆病</x:v>
      </x:c>
      <x:c r="E29" s="3" t="str">
        <x:v>蝇蛆病 ｜ myiasis</x:v>
      </x:c>
      <x:c r="F29" s="3" t="str">
        <x:v>蝇蛆病</x:v>
      </x:c>
      <x:c r="G29" s="3" t="str">
        <x:v>体格检查类: 皮肤科查体：结果：背部和臀部可见瘙痒性、流液性结节，中央有开口。</x:v>
      </x:c>
      <x:c r="H29" s="3" t="str">
        <x:v>建议直接挤压结节观察是否有幼虫排出，或行浅表活检/幼虫取出术以确诊。</x:v>
      </x:c>
      <x:c r="I29" s="3" t="str">
        <x:v>若确诊蝇蛆病，需进行针对性治疗并密切随访。</x:v>
      </x:c>
      <x:c r="J29" s="3" t="str">
        <x:v>哥伦比亚旅行史 ｜ 背部和臀部瘙痒性流液结节 ｜ 中央开口/ punctum ｜ 抗生素治疗无效 ｜ 最符合蝇蛆病</x:v>
      </x:c>
      <x:c r="K29" s="3" t="str">
        <x:v>皮肤科进一步评估或随访 ｜ 移除虫体并进行局部处理 ｜ 必要时处理继发感染 ｜ 进行旅行相关卫生宣教</x:v>
      </x:c>
      <x:c r="L29" s="6" t="str"/>
      <x:c r="M29" s="6" t="str"/>
      <x:c r="N29" s="6" t="str"/>
      <x:c r="O29" s="6" t="str"/>
    </x:row>
    <x:row r="30" ht="78" customHeight="1">
      <x:c r="A30" s="3" t="str">
        <x:v>audit-029</x:v>
      </x:c>
      <x:c r="B30" s="3" t="str">
        <x:v>episode-16-cli</x:v>
      </x:c>
      <x:c r="C30" s="3" t="str">
        <x:v>58岁 女性
主诉：水样腹泻
病史要点：年龄：58岁 ｜ 性别：女性 ｜ 主诉：水样腹泻 ｜ 症状：水样腹泻 ｜ 症状：下腹不适 ｜ 症状：腹部痉挛 ｜ 既往史：目前因社区获得性肺炎接受治疗，除此之外无明显既往病史 ｜ 吸烟史：不吸烟
既往史：目前因社区获得性肺炎接受治疗，除此之外无明显既往病史</x:v>
      </x:c>
      <x:c r="D30" s="3" t="str">
        <x:v>艰难梭菌性结肠炎</x:v>
      </x:c>
      <x:c r="E30" s="3" t="str">
        <x:v>艰难梭菌性结肠炎</x:v>
      </x:c>
      <x:c r="F30" s="3" t="str">
        <x:v>急性胃肠炎</x:v>
      </x:c>
      <x:c r="G30" s="3" t="str">
        <x:v>水样腹泻、下腹不适和腹部痉挛；白细胞总数升高（13400/mm3）</x:v>
      </x:c>
      <x:c r="H30" s="3" t="str">
        <x:v>建议多饮水，避免油腻食物，观察病情变化。如症状加重或持续，需进一步评估。</x:v>
      </x:c>
      <x:c r="I30" s="3" t="str">
        <x:v>建议2天后复诊，如症状无改善或出现发热、血便等新症状，及时就诊。</x:v>
      </x:c>
      <x:c r="J30" s="3" t="str">
        <x:v>水样腹泻 ｜ 下腹不适 ｜ 腹部痉挛 ｜ 体温37°C；血压122/98 mmHg；心率67次/分；呼吸频率15次/分 ｜ 腹部无膨隆；肠鸣音正常；全腹鼓音；下腹部轻压痛 ｜ 血红蛋白13 g/dL；白细胞13400/mm3；中性粒细胞80% ｜ 粪便外观水样，培养待回报</x:v>
      </x:c>
      <x:c r="K30" s="3" t="str">
        <x:v>消化科进一步评估或随访 ｜ 根据当前诊断给予规范化抗感染及对症治疗 ｜ 必要时完善进一步检查并评估严重程度 ｜ 监测病情变化并进行风险告知</x:v>
      </x:c>
      <x:c r="L30" s="6" t="str"/>
      <x:c r="M30" s="6" t="str"/>
      <x:c r="N30" s="6" t="str"/>
      <x:c r="O30" s="6" t="str"/>
    </x:row>
    <x:row r="31" ht="78" customHeight="1">
      <x:c r="A31" s="3" t="str">
        <x:v>audit-030</x:v>
      </x:c>
      <x:c r="B31" s="3" t="str">
        <x:v>episode-98-cli</x:v>
      </x:c>
      <x:c r="C31" s="3" t="str">
        <x:v>44岁 男性
主诉：右下肢无力和步态不稳
病史要点：年龄：44岁 ｜ 性别：男性 ｜ 主诉：右下肢无力和步态不稳 ｜ 症状：右下肢无力和步态不稳 ｜ 症状：健忘 ｜ 症状：偏执和激惹行为 ｜ 症状：不会使用厨房电器 ｜ 既往史：已知HIV感染、高血压和2型糖尿病。超过2年未规律服药
既往史：已知HIV感染、高血压和2型糖尿病。超过2年未规律服药</x:v>
      </x:c>
      <x:c r="D31" s="3" t="str">
        <x:v>进行性多灶性白质脑病</x:v>
      </x:c>
      <x:c r="E31" s="3" t="str">
        <x:v>进行性多灶性白质脑病</x:v>
      </x:c>
      <x:c r="F31" s="3" t="str">
        <x:v>进行性多灶性白质脑病（PML）</x:v>
      </x:c>
      <x:c r="G31" s="3" t="str">
        <x:v>脑MRI显示弥漫性、无强化的白质病灶，且无占位效应。</x:v>
      </x:c>
      <x:c r="H31" s="3" t="str">
        <x:v>建议进一步进行JC病毒PCR检测和HIV筛查以明确病因。</x:v>
      </x:c>
      <x:c r="I31" s="3" t="str">
        <x:v>请尽快完成JC病毒PCR检测和HIV筛查，并根据结果制定后续治疗方案。</x:v>
      </x:c>
      <x:c r="J31" s="3" t="str">
        <x:v>右下肢无力和步态不稳 ｜ 健忘 ｜ 偏执和激惹行为 ｜ 不会使用厨房电器 ｜ 体温：37.2°C (99.0°F)；血压：152/68 mmHg；心率：98 次/分；呼吸频率：14 次/分 ｜ 嗜睡、意识模糊、右下肢无力、步态不稳 ｜ CD4计数极低且病毒载量高 ｜ 脑MRI示弥漫性无强化白质病灶且无占位效应 ｜ 隐球菌抗原阴性有助于排除隐球菌感染</x:v>
      </x:c>
      <x:c r="K31" s="3" t="str">
        <x:v>相关专科进一步评估或随访 ｜ 根据当前诊断给予规范化对症治疗 ｜ 必要时完善进一步检查并评估严重程度 ｜ 监测病情变化并进行风险告知</x:v>
      </x:c>
      <x:c r="L31" s="6" t="str"/>
      <x:c r="M31" s="6" t="str"/>
      <x:c r="N31" s="6" t="str"/>
      <x:c r="O31" s="6" t="str"/>
    </x:row>
    <x:row r="32" ht="78" customHeight="1">
      <x:c r="A32" s="3" t="str">
        <x:v>audit-031</x:v>
      </x:c>
      <x:c r="B32" s="3" t="str">
        <x:v>episode-501-cli</x:v>
      </x:c>
      <x:c r="C32" s="3" t="str">
        <x:v>45岁 男性 高中教师
主诉：慢性干咳
病史要点：年龄：45岁 ｜ 性别：男性 ｜ 职业：高中教师 ｜ 主诉：慢性干咳 ｜ 病程：4周 ｜ 症状：慢性干咳 ｜ 症状：偶有少量清痰 ｜ 症状：夜间加重影响睡眠 ｜ 病情特点：无气短 ｜ 病情特点：无胸痛 ｜ 病情特点：无咯血 ｜ 病情特点：无近期感染史 ｜ 既往史：季节性过敏性鼻炎。无哮喘或COPD病史。 ｜ 吸烟史：不吸烟 ｜ 饮酒史：少量饮酒 ｜ 否认：无发热 ｜ 否认：无寒战 ｜ 否认：无盗汗 ｜ 否认：无体重下降 ｜ 否认：无明显哮鸣
既往史：季节性过敏性鼻炎。无哮喘或COPD病史。</x:v>
      </x:c>
      <x:c r="D32" s="3" t="str">
        <x:v>咳嗽变异性哮喘</x:v>
      </x:c>
      <x:c r="E32" s="3" t="str">
        <x:v>咳嗽变异性哮喘</x:v>
      </x:c>
      <x:c r="F32" s="3" t="str">
        <x:v>当前诊断仍需进一步明确</x:v>
      </x:c>
      <x:c r="G32" s="3" t="str">
        <x:v>年龄：45岁 ｜ 性别：男性 ｜ 职业：高中教师 ｜ 主诉：慢性干咳 ｜ 病程：4周 ｜ 症状：慢性干咳</x:v>
      </x:c>
      <x:c r="H32" s="3" t="str">
        <x:v>先给予对症处理。 ｜ 交代危险信号，如症状加重及时复诊或急诊就医。</x:v>
      </x:c>
      <x:c r="I32" s="3" t="str">
        <x:v>如症状加重应立即就医。 ｜ 按医嘱完成复查或复诊。</x:v>
      </x:c>
      <x:c r="J32" s="3" t="str">
        <x:v>慢性干咳4周 ｜ 夜间加重 ｜ 胸片正常 ｜ 肺功能轻度阻塞且支气管舒张后改善 ｜ 存在气道可逆性</x:v>
      </x:c>
      <x:c r="K32" s="3" t="str">
        <x:v>呼吸内科进一步评估或随访 ｜ 给予吸入抗炎治疗并评估支气管舒张剂方案 ｜ 监测夜间症状和峰流速 ｜ 处理过敏性鼻炎等共病</x:v>
      </x:c>
      <x:c r="L32" s="6" t="str"/>
      <x:c r="M32" s="6" t="str"/>
      <x:c r="N32" s="6" t="str"/>
      <x:c r="O32" s="6" t="str"/>
    </x:row>
    <x:row r="33" ht="78" customHeight="1">
      <x:c r="A33" s="3" t="str">
        <x:v>audit-032</x:v>
      </x:c>
      <x:c r="B33" s="3" t="str">
        <x:v>episode-580-cli</x:v>
      </x:c>
      <x:c r="C33" s="3" t="str">
        <x:v>55岁 男性 木匠
主诉：持续性咳嗽伴气短
病史要点：年龄：55岁 ｜ 性别：男性 ｜ 职业：木匠 ｜ 主诉：持续性咳嗽伴气短 ｜ 病程：3个月 ｜ 症状：持续性咳嗽 ｜ 症状：咳白痰 ｜ 症状：气短 ｜ 症状：夜间喘鸣 ｜ 症状：运动耐量下降 ｜ 病情特点：症状在粉尘环境中加重 ｜ 病情特点：无发热 ｜ 病情特点：无胸痛 ｜ 病情特点：无近期体重下降 ｜ 既往史：有季节性过敏史，无既往因呼吸系统问题住院史 ｜ 吸烟史：吸烟，每日1包，30年 ｜ 饮酒史：不饮酒 ｜ 否认：无盗汗 ｜ 否认：无咯血 ｜ 否认：无近期感染
既往史：有季节性过敏史，无既往因呼吸系统问题住院史</x:v>
      </x:c>
      <x:c r="D33" s="3" t="str">
        <x:v>慢性阻塞性肺疾病</x:v>
      </x:c>
      <x:c r="E33" s="3" t="str">
        <x:v>慢性阻塞性肺疾病 ｜ COPD</x:v>
      </x:c>
      <x:c r="F33" s="3" t="str">
        <x:v>当前诊断仍需进一步明确</x:v>
      </x:c>
      <x:c r="G33" s="3" t="str">
        <x:v>年龄：55岁 ｜ 性别：男性 ｜ 职业：木匠 ｜ 主诉：持续性咳嗽伴气短 ｜ 病程：3个月 ｜ 症状：持续性咳嗽</x:v>
      </x:c>
      <x:c r="H33" s="3" t="str">
        <x:v>先给予对症处理。 ｜ 交代危险信号，如症状加重及时复诊或急诊就医。</x:v>
      </x:c>
      <x:c r="I33" s="3" t="str">
        <x:v>如症状加重应立即就医。 ｜ 按医嘱完成复查或复诊。</x:v>
      </x:c>
      <x:c r="J33" s="3" t="str">
        <x:v>持续3个月咳嗽 ｜ 咳白痰 ｜ 气短和夜间喘鸣 ｜ 长期吸烟史 ｜ 听诊双肺哮鸣音、肺底呼吸音减低 ｜ 叩诊过清音 ｜ 胸片示肺过度充气、膈肌变平 ｜ FEV1/FVC降低</x:v>
      </x:c>
      <x:c r="K33" s="3" t="str">
        <x:v>建议戒烟 ｜ 给予支气管扩张剂等规范治疗评估 ｜ 进行呼吸科进一步评估与随访 ｜ 教育避免粉尘等诱因</x:v>
      </x:c>
      <x:c r="L33" s="6" t="str"/>
      <x:c r="M33" s="6" t="str"/>
      <x:c r="N33" s="6" t="str"/>
      <x:c r="O33" s="6" t="str"/>
    </x:row>
    <x:row r="34" ht="78" customHeight="1">
      <x:c r="A34" s="3" t="str">
        <x:v>audit-033</x:v>
      </x:c>
      <x:c r="B34" s="3" t="str">
        <x:v>episode-33-cli</x:v>
      </x:c>
      <x:c r="C34" s="3" t="str">
        <x:v>5岁 男性
主诉：右上肢血压升高
病史要点：年龄：5岁 ｜ 性别：男性 ｜ 主诉：右上肢血压升高 ｜ 症状：右上肢血压升高 ｜ 既往史：无明显既往病史，足月出生，新生儿期顺利
既往史：无明显既往病史，足月出生，新生儿期顺利</x:v>
      </x:c>
      <x:c r="D34" s="3" t="str">
        <x:v>主动脉缩窄</x:v>
      </x:c>
      <x:c r="E34" s="3" t="str">
        <x:v>主动脉缩窄</x:v>
      </x:c>
      <x:c r="F34" s="3" t="str">
        <x:v>主动脉缩窄</x:v>
      </x:c>
      <x:c r="G34" s="3" t="str">
        <x:v>右上肢血压150/80 mmHg，股动脉搏动微弱，上下肢血压差异明显 ｜ 左胸骨缘及背部闻及2/6级长收缩期杂音伴收缩期喷射音 ｜ 超声心动图显示左锁骨下动脉远端主动脉狭窄并有压力阶差</x:v>
      </x:c>
      <x:c r="H34" s="3" t="str">
        <x:v>建议转诊至心血管外科或小儿心脏外科评估手术指征 ｜ 首选治疗方案为经皮球囊主动脉成形术或外科缩窄段切除吻合术 ｜ 术前完善CT血管造影或MRI明确解剖细节 ｜ 评估是否合并其他心脏畸形（如二叶主动脉瓣、室间隔缺损等） ｜ 控制血压，避免剧烈运动，预防心内膜炎</x:v>
      </x:c>
      <x:c r="I34" s="3" t="str">
        <x:v>术后定期随访血压及超声心动图，监测再狭窄情况 ｜ 长期随访至成年，关注高血压、冠状动脉疾病及主动脉夹层风险 ｜ 建议遗传咨询，评估家族性发病风险 ｜ 终身预防性抗生素使用指征需根据手术方式及残余分流情况确定</x:v>
      </x:c>
      <x:c r="J34" s="3" t="str">
        <x:v>右上肢血压升高 ｜ 右上肢血压150/80 mmHg；心率和呼吸频率均为年龄相符的正常范围 ｜ 桡动脉搏动强而股动脉搏动弱；左胸骨缘及背部可闻及收缩期杂音 ｜ 超声心动图提示左锁骨下动脉远端主动脉缩窄伴压力阶差 ｜ 胸片心影正常</x:v>
      </x:c>
      <x:c r="K34" s="3" t="str">
        <x:v>小儿心内科进一步评估或随访 ｜ 根据当前诊断给予规范化处理 ｜ 必要时完善进一步检查并评估严重程度 ｜ 监测病情变化并进行风险告知</x:v>
      </x:c>
      <x:c r="L34" s="6" t="str"/>
      <x:c r="M34" s="6" t="str"/>
      <x:c r="N34" s="6" t="str"/>
      <x:c r="O34" s="6" t="str"/>
    </x:row>
    <x:row r="35" ht="78" customHeight="1">
      <x:c r="A35" s="3" t="str">
        <x:v>audit-034</x:v>
      </x:c>
      <x:c r="B35" s="3" t="str">
        <x:v>episode-261-cli</x:v>
      </x:c>
      <x:c r="C35" s="3" t="str">
        <x:v>31岁 女性 中学教师
主诉：间歇性腰痛
病史要点：年龄：31岁 ｜ 性别：女性 ｜ 职业：中学教师 ｜ 主诉：间歇性腰痛 ｜ 病程：5个月 ｜ 症状：间歇性腰痛 ｜ 症状：过去2年有5次尿路感染 ｜ 病情特点：无发热 ｜ 病情特点：无体重明显下降 ｜ 病情特点：无排便排尿习惯明显变化 ｜ 既往史：除反复尿路感染外无明显病史 ｜ 吸烟史：不吸烟 ｜ 饮酒史：社交性饮酒 ｜ 否认：无近期发热 ｜ 否认：无外伤 ｜ 否认：无咳嗽 ｜ 否认：无皮疹 ｜ 否认：无关节痛
既往史：除反复尿路感染外无明显病史</x:v>
      </x:c>
      <x:c r="D35" s="3" t="str">
        <x:v>常染色体显性多囊肾病</x:v>
      </x:c>
      <x:c r="E35" s="3" t="str">
        <x:v>常染色体显性多囊肾病 ｜ ADPKD</x:v>
      </x:c>
      <x:c r="F35" s="3" t="str">
        <x:v>常染色体显性多囊肾病(ADPKD)</x:v>
      </x:c>
      <x:c r="G35" s="3" t="str">
        <x:v>影像学检查类: 肾脏超声：结果：双肾增大，实质内多发无回声囊性病变</x:v>
      </x:c>
      <x:c r="H35" s="3" t="str">
        <x:v>详细三代家族史采集 ｜ 遗传咨询转诊 ｜ 血压监测与控制 ｜ 颅内动脉瘤筛查评估 ｜ 直系亲属基因筛查建议 ｜ 每6个月肾功能+超声随访</x:v>
      </x:c>
      <x:c r="I35" s="3" t="str">
        <x:v>定期复查肾功能和超声 ｜ 进行遗传咨询和家族史调查 ｜ 监测血压并控制 ｜ 评估颅内动脉瘤风险</x:v>
      </x:c>
      <x:c r="J35" s="3" t="str">
        <x:v>双肾增大 ｜ 多发肾囊肿 ｜ 高血压和肾功能轻损 ｜ 腰痛和反复尿路感染</x:v>
      </x:c>
      <x:c r="K35" s="3" t="str">
        <x:v>肾内科随访 ｜ 控制血压和肾功能监测 ｜ 筛查家族成员和颅内动脉瘤风险 ｜ 处理尿路感染</x:v>
      </x:c>
      <x:c r="L35" s="6" t="str"/>
      <x:c r="M35" s="6" t="str"/>
      <x:c r="N35" s="6" t="str"/>
      <x:c r="O35" s="6" t="str"/>
    </x:row>
    <x:row r="36" ht="78" customHeight="1">
      <x:c r="A36" s="3" t="str">
        <x:v>audit-035</x:v>
      </x:c>
      <x:c r="B36" s="3" t="str">
        <x:v>episode-21-cli</x:v>
      </x:c>
      <x:c r="C36" s="3" t="str">
        <x:v>17岁 男性
主诉：右膝疼痛和肿胀
病史要点：年龄：17岁 ｜ 性别：男性 ｜ 主诉：右膝疼痛和肿胀 ｜ 症状：右膝疼痛和肿胀 ｜ 症状：排尿疼痛 ｜ 症状：既往左踝关节疼痛肿胀 ｜ 症状：双侧结膜炎 ｜ 症状：左侧跟腱附着点压痛 ｜ 既往史：无明显既往病史
既往史：无明显既往病史</x:v>
      </x:c>
      <x:c r="D36" s="3" t="str">
        <x:v>反应性关节炎</x:v>
      </x:c>
      <x:c r="E36" s="3" t="str">
        <x:v>反应性关节炎</x:v>
      </x:c>
      <x:c r="F36" s="3" t="str">
        <x:v>右膝化脓性关节炎</x:v>
      </x:c>
      <x:c r="G36" s="3" t="str">
        <x:v>右膝关节液白细胞计数26000/mm³（显著升高） ｜ 关节液中性粒细胞比例75% ｜ 关节液外观浑浊 ｜ 体温38°C，血沉38mm/h，白细胞12300/mm³ ｜ 右膝红肿热痛、活动受限</x:v>
      </x:c>
      <x:c r="H36" s="3" t="str">
        <x:v>立即关节液细菌培养及药敏试验 ｜ 经验性静脉抗生素治疗（覆盖金黄色葡萄球菌等常见致病菌） ｜ 关节穿刺引流或关节镜灌洗，减轻关节内压力 ｜ 患肢制动、抬高，必要时石膏固定 ｜ 完善血培养、HLA-B27检测以鉴别反应性关节炎 ｜ 眼科会诊评估结膜炎</x:v>
      </x:c>
      <x:c r="I36" s="3" t="str">
        <x:v>48-72小时内复查炎症指标评估治疗反应 ｜ 根据培养结果调整抗生素 ｜ 若治疗效果不佳需考虑关节镜手术清创 ｜ 症状缓解后逐步进行关节功能康复训练 ｜ 随访HLA-B27结果，如阳性需长期随访排除脊柱关节病</x:v>
      </x:c>
      <x:c r="J36" s="3" t="str">
        <x:v>右膝疼痛和肿胀 ｜ 排尿疼痛 ｜ 既往左踝关节疼痛肿胀 ｜ 双侧结膜炎 ｜ 体温38°C；血压100/80 mmHg；心率68次/分；呼吸频率正常 ｜ 右膝压痛、红肿、活动受限；左跟腱附着点压痛 ｜ 尿液白细胞增多；关节液浑浊，白细胞26000/mm3，革兰染色阴性</x:v>
      </x:c>
      <x:c r="K36" s="3" t="str">
        <x:v>风湿免疫科进一步评估或随访 ｜ 根据当前诊断给予规范化对症治疗 ｜ 必要时完善进一步检查并评估严重程度 ｜ 监测病情变化并进行风险告知</x:v>
      </x:c>
      <x:c r="L36" s="6" t="str"/>
      <x:c r="M36" s="6" t="str"/>
      <x:c r="N36" s="6" t="str"/>
      <x:c r="O36" s="6" t="str"/>
    </x:row>
    <x:row r="37" ht="78" customHeight="1">
      <x:c r="A37" s="3" t="str">
        <x:v>audit-036</x:v>
      </x:c>
      <x:c r="B37" s="3" t="str">
        <x:v>episode-518-cli</x:v>
      </x:c>
      <x:c r="C37" s="3" t="str">
        <x:v>45岁 男性 建筑工人
主诉：持续咳嗽伴哮鸣
病史要点：年龄：45岁 ｜ 性别：男性 ｜ 职业：建筑工人 ｜ 主诉：持续咳嗽伴哮鸣 ｜ 病程：6周 ｜ 症状：持续咳嗽 ｜ 症状：哮鸣 ｜ 症状：活动时气短 ｜ 症状：胸闷 ｜ 病情特点：夜间及寒冷天气加重 ｜ 病情特点：工作环境空气污染时加重 ｜ 病情特点：无发热 ｜ 病情特点：无体重下降 ｜ 病情特点：无咯血 ｜ 既往史：季节性过敏史。无明确慢性呼吸系统疾病史。 ｜ 吸烟史：每日约10支烟，20年 ｜ 饮酒史：偶尔饮酒 ｜ 否认：无发热 ｜ 否认：无体重下降 ｜ 否认：无咯血 ｜ 否认：无盗汗
既往史：季节性过敏史。无明确慢性呼吸系统疾病史。</x:v>
      </x:c>
      <x:c r="D37" s="3" t="str">
        <x:v>支气管哮喘</x:v>
      </x:c>
      <x:c r="E37" s="3" t="str">
        <x:v>支气管哮喘 ｜ 哮喘</x:v>
      </x:c>
      <x:c r="F37" s="3" t="str">
        <x:v>慢性阻塞性肺疾病</x:v>
      </x:c>
      <x:c r="G37" s="3" t="str">
        <x:v>肺功能检查显示FEV1/FVC比值下降 ｜ 胸部X线显示双肺轻度过度充气 ｜ 过敏检测显示尘螨和花粉阳性 ｜ 长期吸烟史</x:v>
      </x:c>
      <x:c r="H37" s="3" t="str">
        <x:v>建议戒烟并避免接触粉尘和空气污染 ｜ 开始吸入型支气管扩张剂治疗 ｜ 安排流感疫苗接种和肺炎球菌疫苗接种 ｜ 进行肺康复评估</x:v>
      </x:c>
      <x:c r="I37" s="3" t="str">
        <x:v>1个月后复查肺功能 ｜ 评估是否需要调整药物治疗方案 ｜ 监测是否有急性加重的迹象</x:v>
      </x:c>
      <x:c r="J37" s="3" t="str">
        <x:v>持续咳嗽和哮鸣 ｜ 夜间及冷空气诱发 ｜ 环境暴露时加重 ｜ 过敏背景 ｜ 双侧呼气相哮鸣音 ｜ 肺功能提示阻塞性模式 ｜ 过敏原检测阳性</x:v>
      </x:c>
      <x:c r="K37" s="3" t="str">
        <x:v>呼吸内科进一步评估或随访 ｜ 给予吸入糖皮质激素等规范哮喘治疗 ｜ 进行过敏原和环境暴露回避教育 ｜ 监测夜间症状和肺功能</x:v>
      </x:c>
      <x:c r="L37" s="6" t="str"/>
      <x:c r="M37" s="6" t="str"/>
      <x:c r="N37" s="6" t="str"/>
      <x:c r="O37" s="6" t="str"/>
    </x:row>
    <x:row r="38" ht="78" customHeight="1">
      <x:c r="A38" s="3" t="str">
        <x:v>audit-037</x:v>
      </x:c>
      <x:c r="B38" s="3" t="str">
        <x:v>episode-59-cli</x:v>
      </x:c>
      <x:c r="C38" s="3" t="str">
        <x:v>69岁 男性
主诉：左足大脚趾、髋部和膝部疼痛
病史要点：年龄：69岁 ｜ 性别：男性 ｜ 主诉：左足大脚趾、髋部和膝部疼痛 ｜ 症状：左足大脚趾、髋部和膝部疼痛 ｜ 症状：活动后加重 ｜ 症状：休息后缓解 ｜ 既往史：肥胖、2型糖尿病、吸烟史、高血压
既往史：肥胖、2型糖尿病、吸烟史、高血压</x:v>
      </x:c>
      <x:c r="D38" s="3" t="str">
        <x:v>骨关节炎</x:v>
      </x:c>
      <x:c r="E38" s="3" t="str">
        <x:v>骨关节炎</x:v>
      </x:c>
      <x:c r="F38" s="3" t="str">
        <x:v>骨关节炎</x:v>
      </x:c>
      <x:c r="G38" s="3" t="str">
        <x:v>患者左足大脚趾、髋部和膝部疼痛持续两周，夜间偶有加剧。 ｜ 体格检查示左足大脚趾、髋部及膝部压痛，髋关节活动时可闻及摩擦感。 ｜ 实验室检查示尿酸6 mg/dL，排除痛风；白细胞计数正常，排除感染性关节炎。 ｜ 影像学检查（X线）示髋关节及膝关节间隙变窄并伴骨赘形成，符合骨关节炎特征。</x:v>
      </x:c>
      <x:c r="H38" s="3" t="str">
        <x:v>药物治疗：口服非甾体抗炎药（如塞来昔布）缓解疼痛及炎症。 ｜ 物理治疗：建议进行适当的关节活动度训练及物理治疗以改善功能。 ｜ 生活指导：减轻关节负荷，控制体重，避免过度劳累及受凉。</x:v>
      </x:c>
      <x:c r="I38" s="3" t="str">
        <x:v>建议治疗后1个月复诊，评估症状改善情况。 ｜ 若疼痛加剧或出现关节功能障碍，请及时就诊。</x:v>
      </x:c>
      <x:c r="J38" s="3" t="str">
        <x:v>左足大脚趾、髋部和膝部疼痛 ｜ 活动后加重，休息后缓解 ｜ 体温36.8°C；血压135/85 mmHg；心率78次/分；呼吸频率14次/分 ｜ 多关节压痛，无明显红肿；髋关节活动时有摩擦感 ｜ X线示关节间隙狭窄及骨赘形成 ｜ 尿酸正常</x:v>
      </x:c>
      <x:c r="K38" s="3" t="str">
        <x:v>骨科或风湿科进一步评估或随访 ｜ 根据当前诊断给予规范化对症治疗 ｜ 必要时完善进一步检查并评估严重程度 ｜ 监测病情变化并进行风险告知</x:v>
      </x:c>
      <x:c r="L38" s="6" t="str"/>
      <x:c r="M38" s="6" t="str"/>
      <x:c r="N38" s="6" t="str"/>
      <x:c r="O38" s="6" t="str"/>
    </x:row>
    <x:row r="39" ht="78" customHeight="1">
      <x:c r="A39" s="3" t="str">
        <x:v>audit-038</x:v>
      </x:c>
      <x:c r="B39" s="3" t="str">
        <x:v>episode-101-cli</x:v>
      </x:c>
      <x:c r="C39" s="3" t="str">
        <x:v>16岁 男性
主诉：突发腹痛
病史要点：年龄：16岁 ｜ 性别：男性 ｜ 主诉：突发腹痛 ｜ 症状：突发腹痛 ｜ 症状：既往无类似发作 ｜ 症状：踢足球时起病 ｜ 既往史：仅有哮喘病史，药物控制良好
既往史：仅有哮喘病史，药物控制良好</x:v>
      </x:c>
      <x:c r="D39" s="3" t="str">
        <x:v>睾丸扭转</x:v>
      </x:c>
      <x:c r="E39" s="3" t="str">
        <x:v>睾丸扭转</x:v>
      </x:c>
      <x:c r="F39" s="3" t="str">
        <x:v>右侧睾丸扭转</x:v>
      </x:c>
      <x:c r="G39" s="3" t="str">
        <x:v>阴囊超声：右侧睾丸血流减少，提示睾丸扭转</x:v>
      </x:c>
      <x:c r="H39" s="3" t="str">
        <x:v>立即启动急诊手术绿色通道，6小时内行手术探查复位或切除。</x:v>
      </x:c>
      <x:c r="I39" s="3" t="str">
        <x:v>术后密切观察睾丸功能恢复情况，定期随访。</x:v>
      </x:c>
      <x:c r="J39" s="3" t="str">
        <x:v>突发腹痛 ｜ 既往无类似发作 ｜ 踢足球时起病 ｜ 体温：37.4°C (99.3°F)；血压：120/88 mmHg；心率：117 次/分；呼吸频率：14 次/分；血氧饱和度：99% ｜ 腹部查体基本正常 ｜ 右侧睾丸抬高并呈水平位，Prehn征阴性，提睾反射消失 ｜ 尿检无感染证据 ｜ 阴囊超声示右侧睾丸血流减少</x:v>
      </x:c>
      <x:c r="K39" s="3" t="str">
        <x:v>相关专科进一步评估或随访 ｜ 根据当前诊断给予规范化对症治疗 ｜ 必要时完善进一步检查并评估严重程度 ｜ 监测病情变化并进行风险告知</x:v>
      </x:c>
      <x:c r="L39" s="6" t="str"/>
      <x:c r="M39" s="6" t="str"/>
      <x:c r="N39" s="6" t="str"/>
      <x:c r="O39" s="6" t="str"/>
    </x:row>
    <x:row r="40" ht="78" customHeight="1">
      <x:c r="A40" s="3" t="str">
        <x:v>audit-039</x:v>
      </x:c>
      <x:c r="B40" s="3" t="str">
        <x:v>episode-530-cli</x:v>
      </x:c>
      <x:c r="C40" s="3" t="str">
        <x:v>45岁 男性 建筑工人
主诉：持续干咳
病史要点：年龄：45岁 ｜ 性别：男性 ｜ 职业：建筑工人 ｜ 主诉：持续干咳 ｜ 病程：3周 ｜ 症状：持续干咳 ｜ 症状：偶有气短 ｜ 症状：疲劳 ｜ 病情特点：夜间加重影响睡眠 ｜ 病情特点：无发热 ｜ 病情特点：无体重下降 ｜ 病情特点：无咯血 ｜ 既往史：季节性过敏史，轻度哮喘，平时使用吸入器控制。 ｜ 吸烟史：不吸烟 ｜ 饮酒史：偶尔饮酒 ｜ 否认：无胸痛 ｜ 否认：无发热 ｜ 否认：无寒战 ｜ 否认：无痰液 ｜ 否认：无盗汗
既往史：季节性过敏史，轻度哮喘，平时使用吸入器控制。</x:v>
      </x:c>
      <x:c r="D40" s="3" t="str">
        <x:v>控制不佳的哮喘</x:v>
      </x:c>
      <x:c r="E40" s="3" t="str">
        <x:v>控制不佳的哮喘 ｜ 哮喘控制不佳</x:v>
      </x:c>
      <x:c r="F40" s="3" t="str">
        <x:v>慢性支气管炎</x:v>
      </x:c>
      <x:c r="G40" s="3" t="str">
        <x:v>持续三周的咳嗽，夜间加重，伴有气短和疲劳 ｜ 胸部X线显示轻度肺过度充气，未见急性浸润或实变</x:v>
      </x:c>
      <x:c r="H40" s="3" t="str">
        <x:v>建议进行肺功能测试以进一步评估呼吸功能 ｜ 开具缓解症状的药物，并建议避免刺激性气体和烟雾</x:v>
      </x:c>
      <x:c r="I40" s="3" t="str">
        <x:v>建议一周后复诊，评估治疗效果 ｜ 如症状加重或出现其他症状，及时就诊</x:v>
      </x:c>
      <x:c r="J40" s="3" t="str">
        <x:v>持续干咳 ｜ 夜间加重 ｜ 既往哮喘和过敏史 ｜ 弥漫性呼气相哮鸣音 ｜ 肺功能提示阻塞性改变 ｜ 过敏检测阳性</x:v>
      </x:c>
      <x:c r="K40" s="3" t="str">
        <x:v>呼吸内科进一步评估或随访 ｜ 强化吸入糖皮质激素等长期控制治疗 ｜ 处理过敏原和被动吸烟暴露 ｜ 监测夜间症状和肺功能</x:v>
      </x:c>
      <x:c r="L40" s="6" t="str"/>
      <x:c r="M40" s="6" t="str"/>
      <x:c r="N40" s="6" t="str"/>
      <x:c r="O40" s="6" t="str"/>
    </x:row>
    <x:row r="41" ht="78" customHeight="1">
      <x:c r="A41" s="3" t="str">
        <x:v>audit-040</x:v>
      </x:c>
      <x:c r="B41" s="3" t="str">
        <x:v>episode-468-cli</x:v>
      </x:c>
      <x:c r="C41" s="3" t="str">
        <x:v>65岁 男性 退休矿工
主诉：慢性咳嗽伴黄痰
病史要点：年龄：65岁 ｜ 性别：男性 ｜ 职业：退休矿工 ｜ 主诉：慢性咳嗽伴黄痰 ｜ 病程：8个月 ｜ 症状：慢性咳嗽 ｜ 症状：黄痰 ｜ 症状：中等活动后气短 ｜ 病情特点：症状逐渐加重 ｜ 病情特点：无胸痛 ｜ 病情特点：无咯血 ｜ 既往史：高血压。吸烟40包年，既往无哮喘或COPD诊断。 ｜ 吸烟史：当前仍吸烟，累计40包年 ｜ 饮酒史：偶尔饮酒 ｜ 否认：无发热 ｜ 否认：无体重下降 ｜ 否认：无盗汗 ｜ 否认：无近期旅行史
既往史：高血压。吸烟40包年，既往无哮喘或COPD诊断。</x:v>
      </x:c>
      <x:c r="D41" s="3" t="str">
        <x:v>慢性阻塞性肺疾病</x:v>
      </x:c>
      <x:c r="E41" s="3" t="str">
        <x:v>慢性阻塞性肺疾病 ｜ COPD</x:v>
      </x:c>
      <x:c r="F41" s="3" t="str">
        <x:v>慢性阻塞性肺疾病</x:v>
      </x:c>
      <x:c r="G41" s="3" t="str">
        <x:v>胸部X线显示双肺过度充气，膈肌变平，提示COPD。 ｜ 患者有40包年吸烟史，伴有慢性咳嗽和活动后气短。</x:v>
      </x:c>
      <x:c r="H41" s="3" t="str">
        <x:v>建议戒烟并避免接触有害气体和颗粒物。 ｜ 开具支气管扩张剂以缓解症状。 ｜ 安排肺功能检查以确认气流受限情况。</x:v>
      </x:c>
      <x:c r="I41" s="3" t="str">
        <x:v>定期随访以监测病情变化。 ｜ 如有症状加重，及时复诊。</x:v>
      </x:c>
      <x:c r="J41" s="3" t="str">
        <x:v>慢性咳嗽8个月伴黄痰 ｜ 活动后气短 ｜ 桶状胸 ｜ 辅助呼吸肌使用 ｜ 听诊呼吸音减弱伴哮鸣音 ｜ 胸片COPD典型改变 ｜ 肺功能FEV1/FVC 65%，FEV1 55% predicted</x:v>
      </x:c>
      <x:c r="K41" s="3" t="str">
        <x:v>呼吸内科进一步评估或随访 ｜ 启动规范COPD分级治疗 ｜ 强烈戒烟干预 ｜ 监测低氧和急性加重风险</x:v>
      </x:c>
      <x:c r="L41" s="6" t="str"/>
      <x:c r="M41" s="6" t="str"/>
      <x:c r="N41" s="6" t="str"/>
      <x:c r="O41" s="6" t="str"/>
    </x:row>
    <x:row r="42" ht="78" customHeight="1">
      <x:c r="A42" s="3" t="str">
        <x:v>audit-041</x:v>
      </x:c>
      <x:c r="B42" s="3" t="str">
        <x:v>episode-534-cli</x:v>
      </x:c>
      <x:c r="C42" s="3" t="str">
        <x:v>45岁 男性 会计
主诉：持续头痛
病史要点：年龄：45岁 ｜ 性别：男性 ｜ 职业：会计 ｜ 主诉：持续头痛 ｜ 病程：1周 ｜ 症状：持续头痛 ｜ 症状：视物模糊 ｜ 症状：偶有恶心 ｜ 病情特点：晨起更严重 ｜ 病情特点：位于前额和颞部 ｜ 病情特点：止痛药缓解差 ｜ 病情特点：无发热 ｜ 病情特点：无颈项强直 ｜ 病情特点：无局灶性神经功能缺损 ｜ 既往史：2年前诊断高血压，规律服药。无偏头痛史。 ｜ 吸烟史：不吸烟 ｜ 饮酒史：适量饮酒 ｜ 否认：无发热 ｜ 否认：无颈项强直 ｜ 否认：无局灶性神经缺损
既往史：2年前诊断高血压，规律服药。无偏头痛史。</x:v>
      </x:c>
      <x:c r="D42" s="3" t="str">
        <x:v>脑肿瘤（倾向脑膜瘤）</x:v>
      </x:c>
      <x:c r="E42" s="3" t="str">
        <x:v>脑肿瘤 ｜ 脑膜瘤</x:v>
      </x:c>
      <x:c r="F42" s="3" t="str">
        <x:v>左额叶占位病变</x:v>
      </x:c>
      <x:c r="G42" s="3" t="str">
        <x:v>脑MRI：左额叶占位病变，伴轻度中线移位及周围水肿。</x:v>
      </x:c>
      <x:c r="H42" s="3" t="str">
        <x:v>安排神经外科会诊以评估是否需要手术或进一步治疗。 ｜ 根据病情可能需要进行病理活检以明确病变性质。</x:v>
      </x:c>
      <x:c r="I42" s="3" t="str">
        <x:v>密切观察病情变化，定期复查影像学检查。 ｜ 根据医生建议进行后续治疗。</x:v>
      </x:c>
      <x:c r="J42" s="3" t="str">
        <x:v>持续头痛晨起加重 ｜ 视物模糊和偶有恶心 ｜ 眼底见视乳头水肿 ｜ MRI示左额叶占位伴水肿和轻度中线移位</x:v>
      </x:c>
      <x:c r="K42" s="3" t="str">
        <x:v>神经外科进一步评估 ｜ 进行增强MRI和病理诊断计划 ｜ 评估降颅压治疗和手术适应证 ｜ 监测神经功能和视力变化</x:v>
      </x:c>
      <x:c r="L42" s="6" t="str"/>
      <x:c r="M42" s="6" t="str"/>
      <x:c r="N42" s="6" t="str"/>
      <x:c r="O42" s="6" t="str"/>
    </x:row>
    <x:row r="43" ht="78" customHeight="1">
      <x:c r="A43" s="3" t="str">
        <x:v>audit-042</x:v>
      </x:c>
      <x:c r="B43" s="3" t="str">
        <x:v>episode-499-cli</x:v>
      </x:c>
      <x:c r="C43" s="3" t="str">
        <x:v>45岁 男性 办公室行政人员
主诉：持续咳嗽伴黄痰
病史要点：年龄：45岁 ｜ 性别：男性 ｜ 职业：办公室行政人员 ｜ 主诉：持续咳嗽伴黄痰 ｜ 病程：3周 ｜ 症状：持续咳嗽 ｜ 症状：黄痰 ｜ 症状：轻度活动后气短 ｜ 症状：偶有哮鸣 ｜ 病情特点：最初为干咳，近1周转为黄痰 ｜ 病情特点：无胸痛 ｜ 病情特点：无咯血 ｜ 病情特点：无明显体重下降 ｜ 既往史：季节性过敏史，无哮喘或慢性肺病史。 ｜ 吸烟史：当前吸烟20包年 ｜ 饮酒史：无娱乐性药物使用 ｜ 否认：无发热 ｜ 否认：无盗汗 ｜ 否认：无近期旅行史
既往史：季节性过敏史，无哮喘或慢性肺病史。</x:v>
      </x:c>
      <x:c r="D43" s="3" t="str">
        <x:v>急性支气管炎</x:v>
      </x:c>
      <x:c r="E43" s="3" t="str">
        <x:v>急性支气管炎</x:v>
      </x:c>
      <x:c r="F43" s="3" t="str">
        <x:v>支气管炎</x:v>
      </x:c>
      <x:c r="G43" s="3" t="str">
        <x:v>胸部X线显示支气管血管纹理增粗，符合支气管炎表现；持续咳嗽、黄痰及哮鸣音症状支持诊断。</x:v>
      </x:c>
      <x:c r="H43" s="3" t="str">
        <x:v>建议戒烟并避免刺激性气体；给予止咳化痰药物治疗；如症状无改善或加重，需进一步评估。</x:v>
      </x:c>
      <x:c r="I43" s="3" t="str">
        <x:v>建议1周后复诊评估治疗效果；如出现发热、呼吸困难或痰液颜色变化，及时就诊。</x:v>
      </x:c>
      <x:c r="J43" s="3" t="str">
        <x:v>持续咳嗽3周 ｜ 近1周出现黄痰 ｜ 轻度活动后气短 ｜ 呼气相双侧哮鸣音及右下肺鼾音 ｜ 胸片提示支气管炎改变且无肺炎证据 ｜ 仅轻度阻塞性改变</x:v>
      </x:c>
      <x:c r="K43" s="3" t="str">
        <x:v>全科或呼吸科进一步评估或随访 ｜ 对症治疗并根据情况评估是否需要抗感染 ｜ 戒烟和气道刺激物回避 ｜ 监测症状持续时间和恶化</x:v>
      </x:c>
      <x:c r="L43" s="6" t="str"/>
      <x:c r="M43" s="6" t="str"/>
      <x:c r="N43" s="6" t="str"/>
      <x:c r="O43" s="6" t="str"/>
    </x:row>
    <x:row r="44" ht="78" customHeight="1">
      <x:c r="A44" s="3" t="str">
        <x:v>audit-043</x:v>
      </x:c>
      <x:c r="B44" s="3" t="str">
        <x:v>episode-527-cli</x:v>
      </x:c>
      <x:c r="C44" s="3" t="str">
        <x:v>45岁 男性 建筑工人
主诉：持续咳嗽伴黄痰
病史要点：年龄：45岁 ｜ 性别：男性 ｜ 职业：建筑工人 ｜ 主诉：持续咳嗽伴黄痰 ｜ 病程：3个月 ｜ 症状：持续咳嗽 ｜ 症状：黄痰 ｜ 症状：气短 ｜ 症状：夜汗 ｜ 症状：体重下降约10磅 ｜ 病情特点：无胸痛 ｜ 病情特点：无咯血 ｜ 病情特点：无近期旅行史 ｜ 既往史：既往吸烟20包年，5年前戒烟。无显著其他病史。 ｜ 吸烟史：既往吸烟20包年，5年前戒烟 ｜ 饮酒史：不饮酒 ｜ 否认：无明显发热 ｜ 否认：无胸痛 ｜ 否认：无咯血
既往史：既往吸烟20包年，5年前戒烟。无显著其他病史。</x:v>
      </x:c>
      <x:c r="D44" s="3" t="str">
        <x:v>肺结核</x:v>
      </x:c>
      <x:c r="E44" s="3" t="str">
        <x:v>肺结核 ｜ 肺部结核</x:v>
      </x:c>
      <x:c r="F44" s="3" t="str">
        <x:v>肺结核</x:v>
      </x:c>
      <x:c r="G44" s="3" t="str">
        <x:v>胸部X线：左上肺斑片浸润并见空洞 ｜ 痰液AFB Smear：阳性</x:v>
      </x:c>
      <x:c r="H44" s="3" t="str">
        <x:v>开始抗结核治疗 ｜ 定期复查胸部X线和痰液检查</x:v>
      </x:c>
      <x:c r="I44" s="3" t="str">
        <x:v>每周门诊随访 ｜ 观察症状变化及药物副作用</x:v>
      </x:c>
      <x:c r="J44" s="3" t="str">
        <x:v>持续咳嗽3个月伴黄痰 ｜ 夜汗和体重下降 ｜ 左上肺异常体征 ｜ 胸片左上肺浸润并空洞 ｜ AFB涂片阳性</x:v>
      </x:c>
      <x:c r="K44" s="3" t="str">
        <x:v>感染科或呼吸科进一步评估或随访 ｜ 进行隔离和规范抗结核治疗评估 ｜ 完善培养/核酸检测和公共卫生管理 ｜ 监测药物不良反应及疗效</x:v>
      </x:c>
      <x:c r="L44" s="6" t="str"/>
      <x:c r="M44" s="6" t="str"/>
      <x:c r="N44" s="6" t="str"/>
      <x:c r="O44" s="6" t="str"/>
    </x:row>
    <x:row r="45" ht="78" customHeight="1">
      <x:c r="A45" s="3" t="str">
        <x:v>audit-044</x:v>
      </x:c>
      <x:c r="B45" s="3" t="str">
        <x:v>episode-592-cli</x:v>
      </x:c>
      <x:c r="C45" s="3" t="str">
        <x:v>5岁 男性 幼儿园儿童
主诉：眼睑及足部水肿
病史要点：年龄：5岁 ｜ 性别：男性 ｜ 职业：幼儿园儿童 ｜ 主诉：眼睑及足部水肿 ｜ 病程：3天 ｜ 症状：眼周浮肿 ｜ 症状：足部水肿 ｜ 症状：乏力 ｜ 症状：气短 ｜ 症状：食欲下降 ｜ 症状：尿量减少 ｜ 病情特点：晨起眼睑浮肿明显 ｜ 病情特点：腹胀 ｜ 既往史：既往无明显病史，足月出生，发育正常 ｜ 吸烟史：不适用 ｜ 饮酒史：不适用 ｜ 否认：无发热 ｜ 否认：无近期感染 ｜ 否认：无皮疹 ｜ 否认：无关节痛 ｜ 否认：无明显体重下降
既往史：既往无明显病史，足月出生，发育正常</x:v>
      </x:c>
      <x:c r="D45" s="3" t="str">
        <x:v>肾病综合征</x:v>
      </x:c>
      <x:c r="E45" s="3" t="str">
        <x:v>肾病综合征</x:v>
      </x:c>
      <x:c r="F45" s="3" t="str">
        <x:v>肾病综合征</x:v>
      </x:c>
      <x:c r="G45" s="3" t="str">
        <x:v>尿液检查显示蛋白3+，泡沫尿；血液检查显示低白蛋白血症（Albumin：2.0 g/dL）。</x:v>
      </x:c>
      <x:c r="H45" s="3" t="str">
        <x:v>建议进一步进行肾脏功能评估和影像学检查以明确病因。</x:v>
      </x:c>
      <x:c r="I45" s="3" t="str">
        <x:v>请定期复查尿蛋白和肾功能，并遵医嘱调整饮食和药物治疗。</x:v>
      </x:c>
      <x:c r="J45" s="3" t="str">
        <x:v>眼睑和足部水肿 ｜ 少尿 ｜ 腹水 ｜ 白蛋白显著降低 ｜ 尿蛋白3+ ｜ 泡沫尿 ｜ 肾功能基本正常</x:v>
      </x:c>
      <x:c r="K45" s="3" t="str">
        <x:v>儿科/肾内科进一步评估 ｜ 监测水肿和尿量 ｜ 评估白蛋白及利尿治疗需求 ｜ 警惕感染和血栓风险</x:v>
      </x:c>
      <x:c r="L45" s="6" t="str"/>
      <x:c r="M45" s="6" t="str"/>
      <x:c r="N45" s="6" t="str"/>
      <x:c r="O45" s="6" t="str"/>
    </x:row>
    <x:row r="46" ht="78" customHeight="1">
      <x:c r="A46" s="3" t="str">
        <x:v>audit-045</x:v>
      </x:c>
      <x:c r="B46" s="3" t="str">
        <x:v>episode-4-cli</x:v>
      </x:c>
      <x:c r="C46" s="3" t="str">
        <x:v>62岁 女性
主诉：乏力、腰胁部疼痛和发热
病史要点：年龄：62岁 ｜ 性别：女性 ｜ 主诉：乏力、腰胁部疼痛和发热 ｜ 症状：乏力、腰胁部疼痛和发热 ｜ 症状：抗生素治疗期间曾出现皮疹 ｜ 症状：初始鼻窦炎缓解后症状仍持续 ｜ 既往史：原发性高血压、高脂血症、胃食管反流 ｜ 吸烟史：不吸烟
既往史：原发性高血压、高脂血症、胃食管反流</x:v>
      </x:c>
      <x:c r="D46" s="3" t="str">
        <x:v>急性间质性肾炎</x:v>
      </x:c>
      <x:c r="E46" s="3" t="str">
        <x:v>急性间质性肾炎</x:v>
      </x:c>
      <x:c r="F46" s="3" t="str">
        <x:v>急性间质性肾炎</x:v>
      </x:c>
      <x:c r="G46" s="3" t="str">
        <x:v>发热伴腰胁部疼痛 ｜ 肾区叩击痛阳性 ｜ 尿素、肌酐升高提示肾功能受损 ｜ 白细胞尿伴细菌培养阴性 ｜ Hansel染色可见嗜酸性粒细胞</x:v>
      </x:c>
      <x:c r="H46" s="3" t="str">
        <x:v>立即停用可疑致病药物（如近期使用的抗生素或非甾体抗炎药） ｜ 卧床休息，监测尿量及肾功能变化 ｜ 根据病情严重程度，考虑使用糖皮质激素治疗 ｜ 必要时进行肾穿刺活检明确病理类型</x:v>
      </x:c>
      <x:c r="I46" s="3" t="str">
        <x:v>一周后复查肾功能、尿常规及电解质 ｜ 如尿量减少或水肿加重，需立即就诊</x:v>
      </x:c>
      <x:c r="J46" s="3" t="str">
        <x:v>乏力、腰胁部疼痛和发热 ｜ 抗生素治疗期间曾出现皮疹 ｜ 初始鼻窦炎缓解后症状仍持续 ｜ 体温37.9°C；血压145/90 mmHg；心率75次/分；呼吸频率16次/分 ｜ 当前未见皮疹；心率规则无杂音；轻度腰胁部压痛；肾区叩击痛轻度阳性 ｜ 尿素升高；肌酐升高 ｜ 白细胞尿存在；细菌培养阴性；Hansel染色可见嗜酸性细胞相关改变</x:v>
      </x:c>
      <x:c r="K46" s="3" t="str">
        <x:v>肾内科进一步评估或随访 ｜ 根据当前诊断给予规范化处理 ｜ 必要时完善进一步检查并评估严重程度 ｜ 监测肾功能变化并进行风险告知</x:v>
      </x:c>
      <x:c r="L46" s="6" t="str"/>
      <x:c r="M46" s="6" t="str"/>
      <x:c r="N46" s="6" t="str"/>
      <x:c r="O46" s="6" t="str"/>
    </x:row>
    <x:row r="47" ht="78" customHeight="1">
      <x:c r="A47" s="3" t="str">
        <x:v>audit-046</x:v>
      </x:c>
      <x:c r="B47" s="3" t="str">
        <x:v>episode-1-cli</x:v>
      </x:c>
      <x:c r="C47" s="3" t="str">
        <x:v>35岁 女性
主诉：行走困难，伴醉酒样步态
病史要点：年龄：35岁 ｜ 性别：女性 ｜ 主诉：行走困难，伴醉酒样步态 ｜ 症状：行走困难，伴醉酒样步态 ｜ 症状：步态共济失调 ｜ 症状：肢体共济失调 ｜ 症状：右上肢肌力减弱 ｜ 病情特点：新近出现 ｜ 既往史：2年前诊断为克罗恩病，过去1年一直使用那他珠单抗治疗
既往史：2年前诊断为克罗恩病，过去1年一直使用那他珠单抗治疗</x:v>
      </x:c>
      <x:c r="D47" s="3" t="str">
        <x:v>进行性多灶性脑白质脑病（PML）</x:v>
      </x:c>
      <x:c r="E47" s="3" t="str">
        <x:v>进行性多灶性脑白质脑病（PML） ｜ PML</x:v>
      </x:c>
      <x:c r="F47" s="3" t="str">
        <x:v>那他珠单抗相关进行性多灶性脑白质脑病（PML）</x:v>
      </x:c>
      <x:c r="G47" s="3" t="str">
        <x:v>那他珠单抗使用史（1年，治疗克罗恩病） ｜ 脑MRI：多灶性脱髓鞘病灶，无钆增强，符合PML影像学特征 ｜ 进行性共济失调和右上肢无力，病程约1个月 ｜ 无HIV感染史、无器官移植史</x:v>
      </x:c>
      <x:c r="H47" s="3" t="str">
        <x:v>立即停用那他珠单抗 ｜ 紧急血浆置换以加速药物清除 ｜ 请神经科和感染科会诊评估抗病毒治疗（如西多福韦） ｜ 监测JC病毒DNA载量 ｜ 评估免疫重建炎症综合征（IRIS）风险</x:v>
      </x:c>
      <x:c r="I47" s="3" t="str">
        <x:v>密切监测神经功能变化 ｜ 定期复查脑MRI评估病灶演变 ｜ JC病毒PCR监测 ｜ 长期随访认知和运动功能恢复情况 ｜ 克罗恩病需调整治疗方案，避免再次使用那他珠单抗</x:v>
      </x:c>
      <x:c r="J47" s="3" t="str">
        <x:v>行走困难，伴醉酒样步态 ｜ 步态共济失调 ｜ 肢体共济失调 ｜ 右上肢肌力减弱 ｜ 体温正常；血压正常范围内；心率正常范围内；呼吸频率正常范围内 ｜ 可见共济失调步态；右上肢肌力4/5；可见共济失调表现 ｜ 脑MRI显示多灶性脱髓鞘病灶，无钆增强，提示进行性多灶性脑白质脑病</x:v>
      </x:c>
      <x:c r="K47" s="3" t="str">
        <x:v>神经专科进一步评估或随访 ｜ 根据当前诊断给予规范化对症治疗 ｜ 必要时完善进一步检查并评估严重程度 ｜ 监测病情变化并进行风险告知</x:v>
      </x:c>
      <x:c r="L47" s="6" t="str"/>
      <x:c r="M47" s="6" t="str"/>
      <x:c r="N47" s="6" t="str"/>
      <x:c r="O47" s="6" t="str"/>
    </x:row>
    <x:row r="48" ht="78" customHeight="1">
      <x:c r="A48" s="3" t="str">
        <x:v>audit-047</x:v>
      </x:c>
      <x:c r="B48" s="3" t="str">
        <x:v>episode-463-cli</x:v>
      </x:c>
      <x:c r="C48" s="3" t="str">
        <x:v>65岁 男性 退休建筑工人
主诉：持续咳嗽伴白痰
病史要点：年龄：65岁 ｜ 性别：男性 ｜ 职业：退休建筑工人 ｜ 主诉：持续咳嗽伴白痰 ｜ 病程：2个月 ｜ 症状：持续咳嗽 ｜ 症状：近2周痰量增多，白痰 ｜ 症状：活动后气短 ｜ 症状：运动耐量下降 ｜ 病情特点：无发热 ｜ 病情特点：无体重下降 ｜ 病情特点：偶有胸闷 ｜ 既往史：高血压，药物控制。吸烟40包年，5年前戒烟。 ｜ 吸烟史：既往吸烟40包年，5年前戒烟 ｜ 饮酒史：偶尔饮酒 ｜ 否认：无咯血 ｜ 否认：无盗汗 ｜ 否认：无肢体水肿
既往史：高血压，药物控制。吸烟40包年，5年前戒烟。</x:v>
      </x:c>
      <x:c r="D48" s="3" t="str">
        <x:v>慢性阻塞性肺疾病</x:v>
      </x:c>
      <x:c r="E48" s="3" t="str">
        <x:v>慢性阻塞性肺疾病 ｜ COPD</x:v>
      </x:c>
      <x:c r="F48" s="3" t="str">
        <x:v>肺气肿</x:v>
      </x:c>
      <x:c r="G48" s="3" t="str">
        <x:v>胸部X线检查结果：肺过度充气，膈肌变平，胸骨后透亮区增宽，并见肺门影增大，提示肺气肿。</x:v>
      </x:c>
      <x:c r="H48" s="3" t="str">
        <x:v>建议进一步评估肺功能以明确肺气肿的严重程度。给予支气管扩张剂缓解症状，并建议戒烟以防止病情恶化。</x:v>
      </x:c>
      <x:c r="I48" s="3" t="str">
        <x:v>建议定期随访，监测症状变化及肺功能进展。</x:v>
      </x:c>
      <x:c r="J48" s="3" t="str">
        <x:v>持续咳嗽伴白痰 ｜ 活动后气短 ｜ 吸烟40包年 ｜ 听诊呼吸音减弱伴哮鸣音 ｜ 胸片提示肺气肿改变 ｜ 肺功能FEV1/FVC 0.55下降</x:v>
      </x:c>
      <x:c r="K48" s="3" t="str">
        <x:v>呼吸内科进一步评估或随访 ｜ 给予规范吸入治疗并按GOLD分级管理 ｜ 强化戒烟和疫苗预防 ｜ 监测低氧和急性加重</x:v>
      </x:c>
      <x:c r="L48" s="6" t="str"/>
      <x:c r="M48" s="6" t="str"/>
      <x:c r="N48" s="6" t="str"/>
      <x:c r="O48" s="6" t="str"/>
    </x:row>
    <x:row r="49" ht="78" customHeight="1">
      <x:c r="A49" s="3" t="str">
        <x:v>audit-048</x:v>
      </x:c>
      <x:c r="B49" s="3" t="str">
        <x:v>episode-223-cli</x:v>
      </x:c>
      <x:c r="C49" s="3" t="str">
        <x:v>51岁 女性
主诉：长期剧烈咳嗽伴大量黄绿色痰
病史要点：年龄：51岁 ｜ 性别：女性 ｜ 主诉：长期剧烈咳嗽伴大量黄绿色痰 ｜ 病程：约11年 ｜ 症状：剧烈咳嗽 ｜ 症状：大量浓稠泡沫样黄绿色痰 ｜ 症状：晨起加重 ｜ 症状：反复支气管炎样发作 ｜ 病情特点：多次因类似发作接受抗生素治疗 ｜ 既往史：除反复支气管炎外无明显病史 ｜ 吸烟史：不吸烟 ｜ 饮酒史：无酒精或药物滥用史 ｜ 否认：无发热 ｜ 否认：无体重下降 ｜ 否认：无盗汗 ｜ 否认：无明显气短
既往史：除反复支气管炎外无明显病史</x:v>
      </x:c>
      <x:c r="D49" s="3" t="str">
        <x:v>支气管扩张</x:v>
      </x:c>
      <x:c r="E49" s="3" t="str">
        <x:v>支气管扩张</x:v>
      </x:c>
      <x:c r="F49" s="3" t="str">
        <x:v>支气管扩张待排</x:v>
      </x:c>
      <x:c r="G49" s="3" t="str">
        <x:v>长期咳嗽伴大量脓痰 ｜ 胸部X线显示右中叶不规则阴影及弥漫性气道壁增厚</x:v>
      </x:c>
      <x:c r="H49" s="3" t="str">
        <x:v>建议进一步行胸部高分辨率CT（HRCT）以明确是否存在支气管扩张。 ｜ 根据HRCT结果决定是否需要进行抗感染治疗或进一步评估。 ｜ 定期随访，观察症状变化及影像学进展。</x:v>
      </x:c>
      <x:c r="I49" s="3" t="str">
        <x:v>请在HRCT结果出来后复诊，以便进一步评估病情。 ｜ 如症状加重或出现发热、咯血等新发症状，请及时就诊。 ｜ 保持呼吸道通畅，避免接触刺激性气体和烟雾。</x:v>
      </x:c>
      <x:c r="J49" s="3" t="str">
        <x:v>长期大量脓痰咳嗽 ｜ 晨起加重 ｜ 反复支气管炎史 ｜ 局灶湿啰音 ｜ 影像示气道壁增厚和局灶异常</x:v>
      </x:c>
      <x:c r="K49" s="3" t="str">
        <x:v>呼吸科进一步评估 ｜ 完善高分辨率CT明确范围 ｜ 进行气道清除和感染控制 ｜ 评估基础病因</x:v>
      </x:c>
      <x:c r="L49" s="6" t="str"/>
      <x:c r="M49" s="6" t="str"/>
      <x:c r="N49" s="6" t="str"/>
      <x:c r="O49" s="6" t="str"/>
    </x:row>
    <x:row r="50" ht="78" customHeight="1">
      <x:c r="A50" s="3" t="str">
        <x:v>audit-049</x:v>
      </x:c>
      <x:c r="B50" s="3" t="str">
        <x:v>episode-78-cli</x:v>
      </x:c>
      <x:c r="C50" s="3" t="str">
        <x:v>59岁 男性
主诉：突发天旋地转感
病史要点：年龄：59岁 ｜ 性别：男性 ｜ 主诉：突发天旋地转感 ｜ 症状：突发天旋地转感 ｜ 症状：恶心 ｜ 症状：呕吐 ｜ 症状：头晕 ｜ 既往史：除湿疹史外总体健康，无类似既往发作
既往史：除湿疹史外总体健康，无类似既往发作</x:v>
      </x:c>
      <x:c r="D50" s="3" t="str">
        <x:v>良性阵发性位置性眩晕</x:v>
      </x:c>
      <x:c r="E50" s="3" t="str">
        <x:v>良性阵发性位置性眩晕</x:v>
      </x:c>
      <x:c r="F50" s="3" t="str">
        <x:v>良性位置性眩晕</x:v>
      </x:c>
      <x:c r="G50" s="3" t="str">
        <x:v>体格检查类显示眼震及诱发试验异常，头部影像学检查正常，无其他神经系统异常表现。</x:v>
      </x:c>
      <x:c r="H50" s="3" t="str">
        <x:v>建议进行耳石复位治疗，并避免突然的头部运动。</x:v>
      </x:c>
      <x:c r="I50" s="3" t="str">
        <x:v>如果症状持续或加重，请及时复诊。</x:v>
      </x:c>
      <x:c r="J50" s="3" t="str">
        <x:v>突发天旋地转感 ｜ 恶心 ｜ 呕吐 ｜ 头晕 ｜ 体温36.5°C；血压134/85 mmHg；心率85次/分；呼吸频率13次/分；血氧98% ｜ 转头向左并后仰时可诱发眼震和眩晕 ｜ 头部影像正常 ｜ 听力检查正常</x:v>
      </x:c>
      <x:c r="K50" s="3" t="str">
        <x:v>耳鼻喉科或神经内科进一步评估或随访 ｜ 根据当前诊断给予规范化治疗 ｜ 必要时完善进一步检查并评估严重程度 ｜ 监测病情变化并进行风险告知</x:v>
      </x:c>
      <x:c r="L50" s="6" t="str"/>
      <x:c r="M50" s="6" t="str"/>
      <x:c r="N50" s="6" t="str"/>
      <x:c r="O50" s="6" t="str"/>
    </x:row>
    <x:row r="51" ht="78" customHeight="1">
      <x:c r="A51" s="3" t="str">
        <x:v>audit-050</x:v>
      </x:c>
      <x:c r="B51" s="3" t="str">
        <x:v>episode-8-cli</x:v>
      </x:c>
      <x:c r="C51" s="3" t="str">
        <x:v>48岁 女性
主诉：左乳肿块
病史要点：年龄：48岁 ｜ 性别：女性 ｜ 主诉：左乳肿块 ｜ 症状：左乳肿块 ｜ 症状：肿块短时间内迅速增大 ｜ 症状：无皮肤或乳头改变 ｜ 症状：肿块无疼痛 ｜ 既往史：既往无明显内外科病史，无乳腺癌家族史 ｜ 吸烟史：不吸烟
既往史：既往无明显内外科病史，无乳腺癌家族史</x:v>
      </x:c>
      <x:c r="D51" s="3" t="str">
        <x:v>叶状肿瘤</x:v>
      </x:c>
      <x:c r="E51" s="3" t="str">
        <x:v>叶状肿瘤</x:v>
      </x:c>
      <x:c r="F51" s="3" t="str">
        <x:v>乳腺叶状肿瘤</x:v>
      </x:c>
      <x:c r="G51" s="3" t="str">
        <x:v>体格检查：左乳外上象限可触及6厘米、无压痛、分叶状肿块 ｜ 乳腺钼靶：左乳可见边界较光滑的分叶状肿块 ｜ 乳腺活检：可见叶状结构，并伴间质细胞过度增生</x:v>
      </x:c>
      <x:c r="H51" s="3" t="str">
        <x:v>建议行乳腺肿块广泛切除术，确保切缘阴性 ｜ 术后标本送病理检查以进一步明确肿瘤性质及分级 ｜ 术后定期随访复查</x:v>
      </x:c>
      <x:c r="I51" s="3" t="str">
        <x:v>术后1个月返院复查伤口愈合情况及病理结果 ｜ 术后前2年每6个月复查乳腺超声或钼靶</x:v>
      </x:c>
      <x:c r="J51" s="3" t="str">
        <x:v>左乳肿块 ｜ 肿块短时间内迅速增大 ｜ 无皮肤或乳头改变 ｜ 肿块无疼痛 ｜ 体温37.0°C；血压125/80 mmHg；心率72次/分；呼吸频率14次/分 ｜ 未见皮肤改变、乳头回缩或溢液；左乳外上象限可触及6厘米无压痛分叶状肿块；未触及腋窝或颈部肿大淋巴结 ｜ 乳腺钼靶示左乳分叶状肿块 ｜ 活检镜下可见叶状结构并伴间质细胞过度增生</x:v>
      </x:c>
      <x:c r="K51" s="3" t="str">
        <x:v>乳腺外科进一步评估或随访 ｜ 根据当前诊断给予规范化处理 ｜ 必要时完善进一步检查并评估范围与风险 ｜ 监测病情变化并进行风险告知</x:v>
      </x:c>
      <x:c r="L51" s="6" t="str"/>
      <x:c r="M51" s="6" t="str"/>
      <x:c r="N51" s="6" t="str"/>
      <x:c r="O51" s="6" t="str"/>
    </x:row>
    <x:row r="52" ht="78" customHeight="1">
      <x:c r="A52" s="3" t="str">
        <x:v>audit-051</x:v>
      </x:c>
      <x:c r="B52" s="3" t="str">
        <x:v>episode-509-cli</x:v>
      </x:c>
      <x:c r="C52" s="3" t="str">
        <x:v>45岁 男性 建筑经理
主诉：疲劳和非意愿性体重下降
病史要点：年龄：45岁 ｜ 性别：男性 ｜ 职业：建筑经理 ｜ 主诉：疲劳和非意愿性体重下降 ｜ 病程：4个月 ｜ 症状：疲劳 ｜ 症状：体重下降15磅 ｜ 症状：食欲增加 ｜ 症状：口渴增多 ｜ 症状：排尿增多 ｜ 病情特点：无发热 ｜ 病情特点：无盗汗 ｜ 病情特点：无视力明显改变 ｜ 病情特点：无意识混乱或头晕 ｜ 既往史：既往边缘性高血压。无已知过敏。 ｜ 吸烟史：每日约半包烟 ｜ 饮酒史：社交性饮酒 ｜ 否认：无发热 ｜ 否认：无盗汗 ｜ 否认：无明显视力变化 ｜ 否认：无意识模糊或头晕
既往史：既往边缘性高血压。无已知过敏。</x:v>
      </x:c>
      <x:c r="D52" s="3" t="str">
        <x:v>2型糖尿病</x:v>
      </x:c>
      <x:c r="E52" s="3" t="str">
        <x:v>2型糖尿病 ｜ 糖尿病</x:v>
      </x:c>
      <x:c r="F52" s="3" t="str">
        <x:v>型糖尿病</x:v>
      </x:c>
      <x:c r="G52" s="3" t="str">
        <x:v>血糖水平为235 mg/dL，高于正常范围；糖化血红蛋白为9.2%，提示长期血糖控制不佳；尿液检查显示葡萄糖和酮体阳性。</x:v>
      </x:c>
      <x:c r="H52" s="3" t="str">
        <x:v>开始使用胰岛素或口服降糖药物进行治疗；安排定期血糖监测；建议饮食和生活方式调整。</x:v>
      </x:c>
      <x:c r="I52" s="3" t="str">
        <x:v>2-4周内复查血糖和糖化血红蛋白水平；目标为空腹血糖&lt;130 mg/dL，HbA1c&lt;7%。</x:v>
      </x:c>
      <x:c r="J52" s="3" t="str">
        <x:v>疲劳和体重下降 ｜ 多饮、多尿、多食 ｜ 血糖235 mg/dL升高 ｜ 尿糖阳性 ｜ 酮体阳性 ｜ HbA1c 9.2%升高</x:v>
      </x:c>
      <x:c r="K52" s="3" t="str">
        <x:v>内分泌科进一步评估或随访 ｜ 启动糖尿病规范治疗和生活方式干预 ｜ 评估酮症及慢性并发症 ｜ 监测血糖与HbA1c变化</x:v>
      </x:c>
      <x:c r="L52" s="6" t="str"/>
      <x:c r="M52" s="6" t="str"/>
      <x:c r="N52" s="6" t="str"/>
      <x:c r="O52" s="6" t="str"/>
    </x:row>
    <x:row r="53" ht="78" customHeight="1">
      <x:c r="A53" s="3" t="str">
        <x:v>audit-052</x:v>
      </x:c>
      <x:c r="B53" s="3" t="str">
        <x:v>episode-309-cli</x:v>
      </x:c>
      <x:c r="C53" s="3" t="str">
        <x:v>34岁 女性 未提供
主诉：自觉怀孕
病史要点：年龄：34岁 ｜ 性别：女性 ｜ 职业：未提供 ｜ 主诉：自觉怀孕 ｜ 病程：2个月 ｜ 症状：乳房胀痛 ｜ 症状：恶心 ｜ 症状：体重增加约3千克 ｜ 症状：尿频 ｜ 症状：疲劳 ｜ 病情特点：停用口服避孕药6个月并尝试受孕 ｜ 病情特点：坚信自己已经怀孕 ｜ 既往史：6个月前停用口服避孕药，无其他明显病史。 ｜ 吸烟史：不吸烟 ｜ 饮酒史：社交性饮酒 ｜ 否认：无发热 ｜ 否认：无呕吐 ｜ 否认：无腹泻 ｜ 否认：无排尿痛 ｜ 否认：无腰痛
既往史：6个月前停用口服避孕药，无其他明显病史。</x:v>
      </x:c>
      <x:c r="D53" s="3" t="str">
        <x:v>假孕</x:v>
      </x:c>
      <x:c r="E53" s="3" t="str">
        <x:v>假孕</x:v>
      </x:c>
      <x:c r="F53" s="3" t="str">
        <x:v>非妊娠相关症状</x:v>
      </x:c>
      <x:c r="G53" s="3" t="str">
        <x:v>尿β-hCG检测结果为阴性</x:v>
      </x:c>
      <x:c r="H53" s="3" t="str">
        <x:v>建议进行进一步的体格检查和实验室检查以确定症状的原因。</x:v>
      </x:c>
      <x:c r="I53" s="3" t="str">
        <x:v>请预约后续的门诊检查以明确诊断。</x:v>
      </x:c>
      <x:c r="J53" s="3" t="str">
        <x:v>存在主观妊娠体验和相关症状 ｜ 持续坚信自己怀孕 ｜ 尿β-hCG阴性 ｜ 超声未见妊娠相关异常 ｜ 盆腔检查无妊娠支持证据</x:v>
      </x:c>
      <x:c r="K53" s="3" t="str">
        <x:v>温和解释结果并避免对抗 ｜ 必要时精神心理评估 ｜ 继续妇科随访以安抚并确认无躯体问题 ｜ 关注受孕压力和情绪支持</x:v>
      </x:c>
      <x:c r="L53" s="6" t="str"/>
      <x:c r="M53" s="6" t="str"/>
      <x:c r="N53" s="6" t="str"/>
      <x:c r="O53" s="6" t="str"/>
    </x:row>
    <x:row r="54" ht="78" customHeight="1">
      <x:c r="A54" s="3" t="str">
        <x:v>audit-053</x:v>
      </x:c>
      <x:c r="B54" s="3" t="str">
        <x:v>episode-589-cli</x:v>
      </x:c>
      <x:c r="C54" s="3" t="str">
        <x:v>45岁 男性 楼宇维护工
主诉：持续性咳嗽伴气短
病史要点：年龄：45岁 ｜ 性别：男性 ｜ 职业：楼宇维护工 ｜ 主诉：持续性咳嗽伴气短 ｜ 病程：2个月 ｜ 症状：持续性咳嗽 ｜ 症状：活动后气短 ｜ 症状：喘鸣 ｜ 症状：偶有黄痰 ｜ 病情特点：无胸痛 ｜ 既往史：有季节性过敏史，无明确哮喘或重大肺病史 ｜ 吸烟史：不吸烟 ｜ 饮酒史：不饮酒 ｜ 否认：无发热 ｜ 否认：无体重下降 ｜ 否认：无盗汗 ｜ 否认：无咯血
既往史：有季节性过敏史，无明确哮喘或重大肺病史</x:v>
      </x:c>
      <x:c r="D54" s="3" t="str">
        <x:v>慢性阻塞性肺疾病</x:v>
      </x:c>
      <x:c r="E54" s="3" t="str">
        <x:v>慢性阻塞性肺疾病 ｜ COPD</x:v>
      </x:c>
      <x:c r="F54" s="3" t="str">
        <x:v>慢性阻塞性肺疾病</x:v>
      </x:c>
      <x:c r="G54" s="3" t="str">
        <x:v>胸部X线：未见急性浸润或胸腔积液，提示肺过度充气。 ｜ 肺功能检查：FEV1/FVC下降，支气管舒张后改善。</x:v>
      </x:c>
      <x:c r="H54" s="3" t="str">
        <x:v>建议戒烟并避免接触有害气体和颗粒物。 ｜ 使用支气管扩张剂和吸入性糖皮质激素治疗。 ｜ 定期随访肺功能和症状变化。</x:v>
      </x:c>
      <x:c r="I54" s="3" t="str">
        <x:v>建议每3个月复查肺功能，如有症状加重及时就诊。</x:v>
      </x:c>
      <x:c r="J54" s="3" t="str">
        <x:v>慢性咳嗽 ｜ 活动后气短和喘鸣 ｜ 肺功能阻塞性改变并支扩后改善 ｜ 胸片过度充气</x:v>
      </x:c>
      <x:c r="K54" s="3" t="str">
        <x:v>进一步呼吸科评估 ｜ 支气管扩张剂治疗评估 ｜ 环境暴露防护 ｜ 定期随访</x:v>
      </x:c>
      <x:c r="L54" s="6" t="str"/>
      <x:c r="M54" s="6" t="str"/>
      <x:c r="N54" s="6" t="str"/>
      <x:c r="O54" s="6" t="str"/>
    </x:row>
    <x:row r="55" ht="78" customHeight="1">
      <x:c r="A55" s="3" t="str">
        <x:v>audit-054</x:v>
      </x:c>
      <x:c r="B55" s="3" t="str">
        <x:v>episode-578-cli</x:v>
      </x:c>
      <x:c r="C55" s="3" t="str">
        <x:v>45岁 男性 建筑工人
主诉：持续咳痰和呼吸困难
病史要点：年龄：45岁 ｜ 性别：男性 ｜ 职业：建筑工人 ｜ 主诉：持续咳痰和呼吸困难 ｜ 病程：3周 ｜ 症状：持续咳黄色痰 ｜ 症状：呼吸困难 ｜ 症状：哮鸣 ｜ 症状：轻度咯血 ｜ 病情特点：无发热 ｜ 病情特点：无寒战 ｜ 病情特点：无盗汗 ｜ 病情特点：无体重下降 ｜ 病情特点：无胸痛 ｜ 既往史：儿童期哮喘，无近年明显加重。过去1年无住院。 ｜ 吸烟史：吸烟20年，每日约1包 ｜ 饮酒史：社交性饮酒 ｜ 否认：无发热 ｜ 否认：无寒战 ｜ 否认：无盗汗 ｜ 否认：无体重下降 ｜ 否认：无胸痛
既往史：儿童期哮喘，无近年明显加重。过去1年无住院。</x:v>
      </x:c>
      <x:c r="D55" s="3" t="str">
        <x:v>慢性阻塞性肺疾病急性加重</x:v>
      </x:c>
      <x:c r="E55" s="3" t="str">
        <x:v>慢性阻塞性肺疾病急性加重 ｜ COPD急性加重</x:v>
      </x:c>
      <x:c r="F55" s="3" t="str">
        <x:v>慢性阻塞性肺疾病</x:v>
      </x:c>
      <x:c r="G55" s="3" t="str">
        <x:v>长期吸烟史 ｜ 咳嗽、黄痰、呼吸困难及哮鸣音症状 ｜ 胸部X线显示双肺过度充气</x:v>
      </x:c>
      <x:c r="H55" s="3" t="str">
        <x:v>建议戒烟 ｜ 避免接触粉尘 ｜ 进行肺功能检查以进一步评估病情</x:v>
      </x:c>
      <x:c r="I55" s="3" t="str">
        <x:v>定期随访，评估病情变化 ｜ 根据肺功能检查结果调整治疗方案</x:v>
      </x:c>
      <x:c r="J55" s="3" t="str">
        <x:v>持续咳黄色痰 ｜ 呼吸困难和哮鸣 ｜ 轻度咯血 ｜ 长期吸烟史 ｜ 全肺野哮鸣音和肺底呼吸音减弱 ｜ 胸片示双肺过度充气 ｜ 肺功能FEV1/FVC 0.65</x:v>
      </x:c>
      <x:c r="K55" s="3" t="str">
        <x:v>呼吸内科进一步评估或随访 ｜ 给予支气管扩张和必要时抗感染/激素治疗评估 ｜ 进行戒烟干预 ｜ 监测咯血和症状恶化</x:v>
      </x:c>
      <x:c r="L55" s="6" t="str"/>
      <x:c r="M55" s="6" t="str"/>
      <x:c r="N55" s="6" t="str"/>
      <x:c r="O55" s="6" t="str"/>
    </x:row>
    <x:row r="56" ht="78" customHeight="1">
      <x:c r="A56" s="3" t="str">
        <x:v>audit-055</x:v>
      </x:c>
      <x:c r="B56" s="3" t="str">
        <x:v>episode-12-cli</x:v>
      </x:c>
      <x:c r="C56" s="3" t="str">
        <x:v>25岁 女性 小学教师
主诉：右侧腹股沟剧烈疼痛
病史要点：年龄：25岁 ｜ 性别：女性 ｜ 职业：小学教师 ｜ 主诉：右侧腹股沟剧烈疼痛 ｜ 症状：右侧腹股沟剧烈疼痛 ｜ 症状：双膝疼痛 ｜ 症状：右下肢轻度缩短，呈屈曲、内收和内旋位 ｜ 既往史：无明显既往病史 ｜ 吸烟史：不吸烟
既往史：无明显既往病史</x:v>
      </x:c>
      <x:c r="D56" s="3" t="str">
        <x:v>髋关节后脱位</x:v>
      </x:c>
      <x:c r="E56" s="3" t="str">
        <x:v>髋关节后脱位</x:v>
      </x:c>
      <x:c r="F56" s="3" t="str">
        <x:v>右髋关节后脱位</x:v>
      </x:c>
      <x:c r="G56" s="3" t="str">
        <x:v>突发右侧腹股沟剧烈疼痛，疼痛持续两天 ｜ 右下肢缩短，呈屈曲、内收、内旋位（典型髋关节后脱位体征） ｜ 骨盆X线：骨盆环及股骨颈未见骨折，对位提示右髋关节后脱位</x:v>
      </x:c>
      <x:c r="H56" s="3" t="str">
        <x:v>立即行右髋关节闭合复位术，建议在麻醉下进行以减轻患者痛苦 ｜ 复位后复查X线确认复位效果 ｜ 复位后行下肢皮牵引或穿丁字鞋维持髋关节稳定 ｜ 必要时行CT检查评估髋臼及关节内情况（复位后） ｜ 预防股骨头缺血性坏死及创伤性关节炎并发症</x:v>
      </x:c>
      <x:c r="I56" s="3" t="str">
        <x:v>复位成功后需绝对卧床休息2-3周 ｜ 6周内避免髋关节屈曲超过90度、内收、内旋动作 ｜ 定期复查X线观察股骨头血供情况 ｜ 如出现髋部疼痛加重、活动受限需及时复诊 ｜ 康复期逐步进行髋关节功能锻炼，预防深静脉血栓</x:v>
      </x:c>
      <x:c r="J56" s="3" t="str">
        <x:v>右侧腹股沟剧烈疼痛 ｜ 双膝疼痛 ｜ 右下肢轻度缩短并呈屈曲内收内旋位 ｜ 体温37°C；血压132/79 mmHg；心率116次/分；呼吸频率19次/分 ｜ 右下肢轻度缩短并呈屈曲、内收、内旋位；右侧腹股沟压痛；双膝髌骨区压痛；右下肢活动受限 ｜ 骨盆X线提示右髋关节后脱位</x:v>
      </x:c>
      <x:c r="K56" s="3" t="str">
        <x:v>骨科紧急进一步评估或随访 ｜ 根据当前诊断给予规范化复位及对症治疗 ｜ 必要时完善进一步检查并评估严重程度 ｜ 监测病情变化并进行风险告知</x:v>
      </x:c>
      <x:c r="L56" s="6" t="str"/>
      <x:c r="M56" s="6" t="str"/>
      <x:c r="N56" s="6" t="str"/>
      <x:c r="O56" s="6" t="str"/>
    </x:row>
    <x:row r="57" ht="78" customHeight="1">
      <x:c r="A57" s="3" t="str">
        <x:v>audit-056</x:v>
      </x:c>
      <x:c r="B57" s="3" t="str">
        <x:v>episode-547-cli</x:v>
      </x:c>
      <x:c r="C57" s="3" t="str">
        <x:v>25岁 男性 会计
主诉：间歇性胸痛
病史要点：年龄：25岁 ｜ 性别：男性 ｜ 职业：会计 ｜ 主诉：间歇性胸痛 ｜ 病程：1周 ｜ 症状：间歇性胸痛 ｜ 病情特点：呈刺痛样 ｜ 病情特点：深呼吸时加重 ｜ 病情特点：平卧时加重 ｜ 病情特点：无气短 ｜ 病情特点：无外伤史 ｜ 既往史：无明显既往病史，无过敏史。 ｜ 吸烟史：不吸烟 ｜ 饮酒史：极少饮酒 ｜ 否认：无发热 ｜ 否认：无咳嗽 ｜ 否认：无心悸 ｜ 否认：无头晕 ｜ 否认：无腹部不适
既往史：无明显既往病史，无过敏史。</x:v>
      </x:c>
      <x:c r="D57" s="3" t="str">
        <x:v>肋软骨炎</x:v>
      </x:c>
      <x:c r="E57" s="3" t="str">
        <x:v>肋软骨炎</x:v>
      </x:c>
      <x:c r="F57" s="3" t="str">
        <x:v>当前诊断仍需进一步明确</x:v>
      </x:c>
      <x:c r="G57" s="3" t="str">
        <x:v>年龄：25岁 ｜ 性别：男性 ｜ 职业：会计 ｜ 主诉：间歇性胸痛 ｜ 病程：1周 ｜ 症状：间歇性胸痛</x:v>
      </x:c>
      <x:c r="H57" s="3" t="str">
        <x:v>先给予对症处理。 ｜ 交代危险信号，如症状加重及时复诊或急诊就医。</x:v>
      </x:c>
      <x:c r="I57" s="3" t="str">
        <x:v>如症状加重应立即就医。 ｜ 按医嘱完成复查或复诊。</x:v>
      </x:c>
      <x:c r="J57" s="3" t="str">
        <x:v>间歇性刺痛性胸痛 ｜ 深呼吸时加重 ｜ 平卧时加重 ｜ 生命体征平稳 ｜ 心电图正常 ｜ 胸片正常 ｜ 炎症指标仅轻度升高</x:v>
      </x:c>
      <x:c r="K57" s="3" t="str">
        <x:v>全科进一步评估或随访 ｜ 给予止痛抗炎和生活方式建议 ｜ 排除红旗症状后对症处理 ｜ 教育症状持续或加重时复诊</x:v>
      </x:c>
      <x:c r="L57" s="6" t="str"/>
      <x:c r="M57" s="6" t="str"/>
      <x:c r="N57" s="6" t="str"/>
      <x:c r="O57" s="6" t="str"/>
    </x:row>
    <x:row r="58" ht="78" customHeight="1">
      <x:c r="A58" s="3" t="str">
        <x:v>audit-057</x:v>
      </x:c>
      <x:c r="B58" s="3" t="str">
        <x:v>episode-59-cli</x:v>
      </x:c>
      <x:c r="C58" s="3" t="str">
        <x:v>69岁 男性
主诉：左足大脚趾、髋部和膝部疼痛
病史要点：年龄：69岁 ｜ 性别：男性 ｜ 主诉：左足大脚趾、髋部和膝部疼痛 ｜ 症状：左足大脚趾、髋部和膝部疼痛 ｜ 症状：活动后加重 ｜ 症状：休息后缓解 ｜ 既往史：肥胖、2型糖尿病、吸烟史、高血压
既往史：肥胖、2型糖尿病、吸烟史、高血压</x:v>
      </x:c>
      <x:c r="D58" s="3" t="str">
        <x:v>骨关节炎</x:v>
      </x:c>
      <x:c r="E58" s="3" t="str">
        <x:v>骨关节炎</x:v>
      </x:c>
      <x:c r="F58" s="3" t="str">
        <x:v>骨关节炎</x:v>
      </x:c>
      <x:c r="G58" s="3" t="str">
        <x:v>影像学检查类: 髋关节及膝关节X线：结果：关节间隙变窄并伴骨赘形成，提示骨关节炎</x:v>
      </x:c>
      <x:c r="H58" s="3" t="str">
        <x:v>建议进行物理治疗以缓解疼痛和改善关节功能。 ｜ 必要时可考虑药物治疗或进一步评估是否需要手术干预。</x:v>
      </x:c>
      <x:c r="I58" s="3" t="str">
        <x:v>定期复查以评估病情进展。 ｜ 如有症状加重或新发症状，请及时复诊。</x:v>
      </x:c>
      <x:c r="J58" s="3" t="str">
        <x:v>左足大脚趾、髋部和膝部疼痛 ｜ 活动后加重，休息后缓解 ｜ 体温36.8°C；血压135/85 mmHg；心率78次/分；呼吸频率14次/分 ｜ 多关节压痛，无明显红肿；髋关节活动时有摩擦感 ｜ X线示关节间隙狭窄及骨赘形成 ｜ 尿酸正常</x:v>
      </x:c>
      <x:c r="K58" s="3" t="str">
        <x:v>骨科或风湿科进一步评估或随访 ｜ 根据当前诊断给予规范化对症治疗 ｜ 必要时完善进一步检查并评估严重程度 ｜ 监测病情变化并进行风险告知</x:v>
      </x:c>
      <x:c r="L58" s="6" t="str"/>
      <x:c r="M58" s="6" t="str"/>
      <x:c r="N58" s="6" t="str"/>
      <x:c r="O58" s="6" t="str"/>
    </x:row>
    <x:row r="59" ht="78" customHeight="1">
      <x:c r="A59" s="3" t="str">
        <x:v>audit-058</x:v>
      </x:c>
      <x:c r="B59" s="3" t="str">
        <x:v>episode-23-cli</x:v>
      </x:c>
      <x:c r="C59" s="3" t="str">
        <x:v>31岁 女性
主诉：慢性腹泻
病史要点：年龄：31岁 ｜ 性别：女性 ｜ 主诉：慢性腹泻 ｜ 症状：慢性腹泻 ｜ 症状：下腹不适 ｜ 症状：腹泻后缓解的腹部痉挛 ｜ 症状：排便前有便意紧迫感 ｜ 症状：黏液便 ｜ 症状：排便后仍有排不净感 ｜ 既往史：未提供明显既往病史
既往史：未提供明显既往病史</x:v>
      </x:c>
      <x:c r="D59" s="3" t="str">
        <x:v>肠易激综合征</x:v>
      </x:c>
      <x:c r="E59" s="3" t="str">
        <x:v>肠易激综合征</x:v>
      </x:c>
      <x:c r="F59" s="3" t="str">
        <x:v>肠易激综合征（腹泻型）</x:v>
      </x:c>
      <x:c r="G59" s="3" t="str">
        <x:v>慢性腹泻伴腹部痉挛及黏液便 ｜ 排便紧迫感及排不尽感 ｜ 无器质性病变警示征象</x:v>
      </x:c>
      <x:c r="H59" s="3" t="str">
        <x:v>低FODMAP饮食指导 ｜ 必要时使用洛哌丁胺控制腹泻 ｜ 记录排便日记监测症状变化</x:v>
      </x:c>
      <x:c r="I59" s="3" t="str">
        <x:v>4周后门诊复诊评估疗效</x:v>
      </x:c>
      <x:c r="J59" s="3" t="str">
        <x:v>慢性腹泻 ｜ 下腹不适 ｜ 腹泻后缓解的腹部痉挛 ｜ 排便前便意紧迫感 ｜ 体温37°C；血压122/78 mmHg；心率67次/分；呼吸频率15次/分 ｜ 腹部无明显异常，肠鸣音正常，轻度弥漫性不适 ｜ 粪便常规正常范围内 ｜ 血红蛋白13 g/dL；白细胞11000/mm3；红细胞沉降率10 mm/hr</x:v>
      </x:c>
      <x:c r="K59" s="3" t="str">
        <x:v>消化科进一步评估或随访 ｜ 根据当前诊断给予规范化对症治疗 ｜ 必要时完善进一步检查并评估严重程度 ｜ 监测病情变化并进行风险告知</x:v>
      </x:c>
      <x:c r="L59" s="6" t="str"/>
      <x:c r="M59" s="6" t="str"/>
      <x:c r="N59" s="6" t="str"/>
      <x:c r="O59" s="6" t="str"/>
    </x:row>
    <x:row r="60" ht="78" customHeight="1">
      <x:c r="A60" s="3" t="str">
        <x:v>audit-059</x:v>
      </x:c>
      <x:c r="B60" s="3" t="str">
        <x:v>episode-31-cli</x:v>
      </x:c>
      <x:c r="C60" s="3" t="str">
        <x:v>71岁 男性
主诉：乏力和全身不适
病史要点：年龄：71岁 ｜ 性别：男性 ｜ 主诉：乏力和全身不适 ｜ 症状：乏力和全身不适 ｜ 症状：明显非意愿性体重下降 ｜ 症状：饮食和运动无改变 ｜ 既往史：有2型糖尿病、高血压、既往非精原细胞性睾丸癌治疗史及高胆固醇血症
既往史：有2型糖尿病、高血压、既往非精原细胞性睾丸癌治疗史及高胆固醇血症</x:v>
      </x:c>
      <x:c r="D60" s="3" t="str">
        <x:v>慢性淋巴细胞白血病</x:v>
      </x:c>
      <x:c r="E60" s="3" t="str">
        <x:v>慢性淋巴细胞白血病</x:v>
      </x:c>
      <x:c r="F60" s="3" t="str">
        <x:v>慢性淋巴细胞白血病</x:v>
      </x:c>
      <x:c r="G60" s="3" t="str">
        <x:v>乏力、体重下降一个月 ｜ 双侧颈部及腹股沟淋巴结肿大 ｜ 脾大 ｜ 白细胞升高伴淋巴细胞增多 ｜ 血红蛋白正常至轻度降低，血小板正常至降低</x:v>
      </x:c>
      <x:c r="H60" s="3" t="str">
        <x:v>转诊血液科进一步完善骨髓穿刺活检、流式细胞术及免疫分型 ｜ 完善胸腹CT评估淋巴结肿大范围及脾脏情况 ｜ 根据确诊结果制定化疗或靶向治疗方案</x:v>
      </x:c>
      <x:c r="I60" s="3" t="str">
        <x:v>血液科门诊随诊</x:v>
      </x:c>
      <x:c r="J60" s="3" t="str">
        <x:v>乏力和全身不适 ｜ 明显非意愿性体重下降 ｜ 饮食和运动无改变 ｜ 体温36.7°C；血压126/74 mmHg；心率87次/分；呼吸频率17次/分 ｜ 慢性病容；双侧颈部和腹股沟淋巴结肿大；脾大 ｜ 白细胞升高伴淋巴细胞增多 ｜ 流式细胞术提示单克隆B淋巴细胞，符合CLL/SLL</x:v>
      </x:c>
      <x:c r="K60" s="3" t="str">
        <x:v>血液科进一步评估或随访 ｜ 根据当前诊断给予规范化治疗 ｜ 必要时完善进一步检查并评估严重程度 ｜ 监测病情变化并进行风险告知</x:v>
      </x:c>
      <x:c r="L60" s="6" t="str"/>
      <x:c r="M60" s="6" t="str"/>
      <x:c r="N60" s="6" t="str"/>
      <x:c r="O60" s="6" t="str"/>
    </x:row>
    <x:row r="61" ht="78" customHeight="1">
      <x:c r="A61" s="3" t="str">
        <x:v>audit-060</x:v>
      </x:c>
      <x:c r="B61" s="3" t="str">
        <x:v>episode-22-cli</x:v>
      </x:c>
      <x:c r="C61" s="3" t="str">
        <x:v>63岁 男性
主诉：胸部皮肤病变
病史要点：年龄：63岁 ｜ 性别：男性 ｜ 主诉：胸部皮肤病变 ｜ 症状：胸部皮肤病变 ｜ 症状：病灶逐渐增大 ｜ 症状：无疼痛 ｜ 症状：无瘙痒 ｜ 既往史：2型糖尿病、高胆固醇血症、青光眼
既往史：2型糖尿病、高胆固醇血症、青光眼</x:v>
      </x:c>
      <x:c r="D61" s="3" t="str">
        <x:v>恶性黑色素瘤</x:v>
      </x:c>
      <x:c r="E61" s="3" t="str">
        <x:v>恶性黑色素瘤</x:v>
      </x:c>
      <x:c r="F61" s="3" t="str">
        <x:v>恶性黑色素瘤</x:v>
      </x:c>
      <x:c r="G61" s="3" t="str">
        <x:v>体格检查：胸部单个部分隆起性皮损，不对称、边界不规则、颜色不均，直径大于6毫米，质地较硬 ｜ 组织病理：可见异型黑色素细胞浸润表皮和真皮</x:v>
      </x:c>
      <x:c r="H61" s="3" t="str">
        <x:v>尽快完善全身影像学检查（CT或PET-CT）评估肿瘤分期及转移情况 ｜ 根据分期结果制定手术方案，首选扩大切除手术 ｜ 必要时行前哨淋巴结活检 ｜ 术后根据病理分期决定是否需辅助治疗（如免疫治疗、靶向治疗或化疗） ｜ 建议转诊至肿瘤专科或黑色素瘤多学科诊疗中心</x:v>
      </x:c>
      <x:c r="I61" s="3" t="str">
        <x:v>术后定期随访，监测复发及转移 ｜ 每3-6个月复查皮肤及淋巴结，持续5年以上 ｜ 终身定期皮肤自查，注意新发或变化的皮损 ｜ 建议家属进行皮肤筛查，黑色素瘤有一定遗传倾向</x:v>
      </x:c>
      <x:c r="J61" s="3" t="str">
        <x:v>胸部皮肤病变 ｜ 病灶逐渐增大 ｜ 无疼痛 ｜ 无瘙痒 ｜ 体温36.8°C；血压130/85 mmHg；心率75次/分；呼吸频率14次/分 ｜ 胸部可见不对称、边界不规则、颜色不均且直径大于6毫米的皮损 ｜ 皮肤活检示异型黑色素细胞浸润表皮和真皮</x:v>
      </x:c>
      <x:c r="K61" s="3" t="str">
        <x:v>皮肤科或肿瘤外科进一步评估或随访 ｜ 根据当前诊断给予规范化处理 ｜ 必要时完善进一步检查并评估严重程度 ｜ 监测病情变化并进行风险告知</x:v>
      </x:c>
      <x:c r="L61" s="6" t="str"/>
      <x:c r="M61" s="6" t="str"/>
      <x:c r="N61" s="6" t="str"/>
      <x:c r="O61" s="6" t="str"/>
    </x:row>
    <x:row r="62" ht="78" customHeight="1">
      <x:c r="A62" s="3" t="str">
        <x:v>audit-061</x:v>
      </x:c>
      <x:c r="B62" s="3" t="str">
        <x:v>episode-189-cli</x:v>
      </x:c>
      <x:c r="C62" s="3" t="str">
        <x:v>4岁 女性
主诉：全身乏力和易瘀青
病史要点：年龄：4岁 ｜ 性别：女性 ｜ 主诉：全身乏力和易瘀青 ｜ 病程：乏力和易瘀青3周，发热和腿痛1周 ｜ 症状：全身乏力 ｜ 症状：易瘀青 ｜ 症状：发热 ｜ 症状：严重腿痛，夜间痛醒 ｜ 既往史：既往史无特殊 ｜ 否认：无咳嗽 ｜ 否认：无呕吐 ｜ 否认：无腹泻 ｜ 否认：无皮疹 ｜ 否认：无泌尿系统症状
既往史：既往史无特殊</x:v>
      </x:c>
      <x:c r="D62" s="3" t="str">
        <x:v>急性淋巴细胞白血病</x:v>
      </x:c>
      <x:c r="E62" s="3" t="str">
        <x:v>急性淋巴细胞白血病 ｜ ALL</x:v>
      </x:c>
      <x:c r="F62" s="3" t="str">
        <x:v>急性淋巴细胞白血病</x:v>
      </x:c>
      <x:c r="G62" s="3" t="str">
        <x:v>实验室检查显示白细胞计数升高，血小板计数降低。</x:v>
      </x:c>
      <x:c r="H62" s="3" t="str">
        <x:v>安排进一步的血液学检查以确认诊断，并制定治疗方案。</x:v>
      </x:c>
      <x:c r="I62" s="3" t="str">
        <x:v>尽快进行骨髓穿刺和细胞遗传学检查以明确诊断。</x:v>
      </x:c>
      <x:c r="J62" s="3" t="str">
        <x:v>乏力和面色苍白 ｜ 易瘀青 ｜ 发热 ｜ 骨痛/腿痛 ｜ 肝脾肿大和淋巴结肿大 ｜ 白细胞明显升高 ｜ 血小板显著降低 ｜ 骨髓CD10/CD19/TdT阳性</x:v>
      </x:c>
      <x:c r="K62" s="3" t="str">
        <x:v>血液肿瘤科紧急评估 ｜ 完善分型和危险分层 ｜ 开始支持治疗并预防肿瘤溶解 ｜ 监测出血和感染风险</x:v>
      </x:c>
      <x:c r="L62" s="6" t="str"/>
      <x:c r="M62" s="6" t="str"/>
      <x:c r="N62" s="6" t="str"/>
      <x:c r="O62" s="6" t="str"/>
    </x:row>
    <x:row r="63" ht="78" customHeight="1">
      <x:c r="A63" s="3" t="str">
        <x:v>audit-062</x:v>
      </x:c>
      <x:c r="B63" s="3" t="str">
        <x:v>episode-568-cli</x:v>
      </x:c>
      <x:c r="C63" s="3" t="str">
        <x:v>65岁 男性 退休教师
主诉：持续干咳
病史要点：年龄：65岁 ｜ 性别：男性 ｜ 职业：退休教师 ｜ 主诉：持续干咳 ｜ 病程：4周 ｜ 症状：持续干咳 ｜ 症状：轻度活动后气短 ｜ 病情特点：夜间更明显影响睡眠 ｜ 病情特点：无胸痛 ｜ 病情特点：无发热 ｜ 病情特点：无近期上呼吸道感染史 ｜ 既往史：长期高血压，药物治疗。无哮喘或慢性肺病既往史。 ｜ 吸烟史：既往吸烟30年，10年前戒烟 ｜ 饮酒史：社交性饮酒 ｜ 否认：无体重下降 ｜ 否认：无盗汗 ｜ 否认：无哮鸣主诉 ｜ 否认：无痰液
既往史：长期高血压，药物治疗。无哮喘或慢性肺病既往史。</x:v>
      </x:c>
      <x:c r="D63" s="3" t="str">
        <x:v>慢性阻塞性肺疾病</x:v>
      </x:c>
      <x:c r="E63" s="3" t="str">
        <x:v>慢性阻塞性肺疾病 ｜ COPD</x:v>
      </x:c>
      <x:c r="F63" s="3" t="str">
        <x:v>慢性阻塞性肺疾病</x:v>
      </x:c>
      <x:c r="G63" s="3" t="str">
        <x:v>胸部X线结果显示双肺过度充气，膈肌变平，未见肿块或浸润。</x:v>
      </x:c>
      <x:c r="H63" s="3" t="str">
        <x:v>建议进一步进行肺功能测试以确认诊断。 ｜ 如果确诊为慢性阻塞性肺疾病，将制定相应的治疗计划。</x:v>
      </x:c>
      <x:c r="I63" s="3" t="str">
        <x:v>请按计划进行肺功能测试，并根据医生建议调整治疗方案。</x:v>
      </x:c>
      <x:c r="J63" s="3" t="str">
        <x:v>持续干咳4周 ｜ 轻度活动后气短 ｜ 既往长期吸烟史 ｜ 强迫呼气时哮鸣音 ｜ 胸片示过度充气和膈肌变平 ｜ 肺功能FEV1/FVC 65%</x:v>
      </x:c>
      <x:c r="K63" s="3" t="str">
        <x:v>呼吸内科进一步评估或随访 ｜ 进行规范吸入治疗和长期管理 ｜ 评估疫苗预防和肺康复 ｜ 监测症状及急性加重</x:v>
      </x:c>
      <x:c r="L63" s="6" t="str"/>
      <x:c r="M63" s="6" t="str"/>
      <x:c r="N63" s="6" t="str"/>
      <x:c r="O63" s="6" t="str"/>
    </x:row>
    <x:row r="64" ht="78" customHeight="1">
      <x:c r="A64" s="3" t="str">
        <x:v>audit-063</x:v>
      </x:c>
      <x:c r="B64" s="3" t="str">
        <x:v>episode-17-cli</x:v>
      </x:c>
      <x:c r="C64" s="3" t="str">
        <x:v>54岁 女性
主诉：右小腿疼痛性溃疡
病史要点：年龄：54岁 ｜ 性别：女性 ｜ 主诉：右小腿疼痛性溃疡 ｜ 症状：右小腿疼痛性溃疡 ｜ 症状：病灶中央坏死且边缘紫红不规则 ｜ 症状：局部曾有蚂蚁叮咬史 ｜ 症状：双下肢凹陷性水肿 ｜ 症状：双下肢静脉迂曲扩张 ｜ 既往史：克罗恩病、2型糖尿病、高血压、8个月前曾治疗前葡萄膜炎
既往史：克罗恩病、2型糖尿病、高血压、8个月前曾治疗前葡萄膜炎</x:v>
      </x:c>
      <x:c r="D64" s="3" t="str">
        <x:v>坏疽性脓皮病</x:v>
      </x:c>
      <x:c r="E64" s="3" t="str">
        <x:v>坏疽性脓皮病</x:v>
      </x:c>
      <x:c r="F64" s="3" t="str">
        <x:v>右小腿慢性溃疡</x:v>
      </x:c>
      <x:c r="G64" s="3" t="str">
        <x:v>体格检查显示右小腿前侧有4厘米压痛性溃疡，中央坏死，边缘紫红不规则；实验室检查显示随机血糖升高；患者有糖尿病病史。</x:v>
      </x:c>
      <x:c r="H64" s="3" t="str">
        <x:v>建议进行进一步的伤口护理和糖尿病管理。可能需要考虑局部抗生素治疗或专科会诊。</x:v>
      </x:c>
      <x:c r="I64" s="3" t="str">
        <x:v>请定期复查溃疡情况，并控制血糖水平。如有恶化或感染迹象，请及时就医。</x:v>
      </x:c>
      <x:c r="J64" s="3" t="str">
        <x:v>右小腿疼痛性溃疡 ｜ 病灶中央坏死且边缘紫红不规则 ｜ 局部曾有蚂蚁叮咬史 ｜ 双下肢凹陷性水肿 ｜ 右小腿前侧4厘米压痛性溃疡，中央坏死，边缘紫红不规则；双下肢静脉迂曲扩张 ｜ 白细胞正常；血红蛋白正常；血小板正常；随机血糖升高 ｜ 皮肤活检示中性粒细胞浸润，无感染证据</x:v>
      </x:c>
      <x:c r="K64" s="3" t="str">
        <x:v>皮肤科进一步评估或随访 ｜ 根据当前诊断给予规范化治疗 ｜ 必要时完善进一步检查并评估严重程度 ｜ 监测病情变化并进行风险告知</x:v>
      </x:c>
      <x:c r="L64" s="6" t="str"/>
      <x:c r="M64" s="6" t="str"/>
      <x:c r="N64" s="6" t="str"/>
      <x:c r="O64" s="6" t="str"/>
    </x:row>
    <x:row r="65" ht="78" customHeight="1">
      <x:c r="A65" s="3" t="str">
        <x:v>audit-064</x:v>
      </x:c>
      <x:c r="B65" s="3" t="str">
        <x:v>episode-157-cli</x:v>
      </x:c>
      <x:c r="C65" s="3" t="str">
        <x:v>4岁 男性
主诉：反复鼻出血
病史要点：年龄：4岁 ｜ 性别：男性 ｜ 主诉：反复鼻出血 ｜ 症状：反复鼻出血 ｜ 症状：牙龈出血 ｜ 症状：远端肢体弥漫性瘀点 ｜ 病情特点：家长还注意到容易淤青 ｜ 既往史：无明显既往病史，疫苗接种完成 ｜ 否认：无发热 ｜ 否认：无明显体重下降 ｜ 否认：无关节痛 ｜ 否认：无近期感染
既往史：无明显既往病史，疫苗接种完成</x:v>
      </x:c>
      <x:c r="D65" s="3" t="str">
        <x:v>Glanzmann血小板无力症</x:v>
      </x:c>
      <x:c r="E65" s="3" t="str">
        <x:v>Glanzmann血小板无力症</x:v>
      </x:c>
      <x:c r="F65" s="3" t="str">
        <x:v>血小板功能异常</x:v>
      </x:c>
      <x:c r="G65" s="3" t="str">
        <x:v>实验室检查显示血小板计数正常，但外周血涂片未见血小板聚集。患者有出血症状。</x:v>
      </x:c>
      <x:c r="H65" s="3" t="str">
        <x:v>建议进一步进行血小板功能检测，如血小板聚集试验或粘附试验。</x:v>
      </x:c>
      <x:c r="I65" s="3" t="str">
        <x:v>根据进一步检查结果调整治疗方案。</x:v>
      </x:c>
      <x:c r="J65" s="3" t="str">
        <x:v>反复鼻出血 ｜ 牙龈出血 ｜ 瘀点 ｜ 血小板计数正常 ｜ PT和aPTT正常 ｜ GIIb/IIIa受体缺乏</x:v>
      </x:c>
      <x:c r="K65" s="3" t="str">
        <x:v>血液科进一步评估 ｜ 进行出血预防教育 ｜ 必要时评估抗纤溶药或血小板输注策略 ｜ 监测黏膜出血风险</x:v>
      </x:c>
      <x:c r="L65" s="6" t="str"/>
      <x:c r="M65" s="6" t="str"/>
      <x:c r="N65" s="6" t="str"/>
      <x:c r="O65" s="6" t="str"/>
    </x:row>
    <x:row r="66" ht="78" customHeight="1">
      <x:c r="A66" s="3" t="str">
        <x:v>audit-065</x:v>
      </x:c>
      <x:c r="B66" s="3" t="str">
        <x:v>episode-45-cli</x:v>
      </x:c>
      <x:c r="C66" s="3" t="str">
        <x:v>9岁
主诉：全身性非瘙痒性皮疹
病史要点：年龄：9岁 ｜ 主诉：全身性非瘙痒性皮疹 ｜ 症状：全身性非瘙痒性皮疹 ｜ 症状：近期高热（40.5°C） ｜ 症状：曾有一次全身强直-阵挛性癫痫发作 ｜ 既往史：无明显既往病史，免疫接种完整
既往史：无明显既往病史，免疫接种完整</x:v>
      </x:c>
      <x:c r="D66" s="3" t="str">
        <x:v>幼儿急疹</x:v>
      </x:c>
      <x:c r="E66" s="3" t="str">
        <x:v>幼儿急疹</x:v>
      </x:c>
      <x:c r="F66" s="3" t="str">
        <x:v>疑似感染性或免疫相关性疾病</x:v>
      </x:c>
      <x:c r="G66" s="3" t="str">
        <x:v>全身皮疹、高烧、抽搐，实验室和脑影像检查未见明显异常</x:v>
      </x:c>
      <x:c r="H66" s="3" t="str">
        <x:v>建议进行更详细的血液检查以排除感染或免疫相关疾病 ｜ 密切观察病情变化</x:v>
      </x:c>
      <x:c r="I66" s="3" t="str">
        <x:v>如有病情加重，立即复诊</x:v>
      </x:c>
      <x:c r="J66" s="3" t="str">
        <x:v>全身性非瘙痒性皮疹 ｜ 近期高热 ｜ 曾有全身强直-阵挛性癫痫发作 ｜ 体温37.2°C；心率120次/分；呼吸频率年龄相符 ｜ 斑丘疹按压褪色，先躯干后四肢；耳后淋巴结肿大 ｜ 血常规和电解质基本正常</x:v>
      </x:c>
      <x:c r="K66" s="3" t="str">
        <x:v>儿科进一步评估或随访 ｜ 根据当前诊断给予规范化对症治疗 ｜ 必要时完善进一步检查并评估严重程度 ｜ 监测病情变化并进行风险告知</x:v>
      </x:c>
      <x:c r="L66" s="6" t="str"/>
      <x:c r="M66" s="6" t="str"/>
      <x:c r="N66" s="6" t="str"/>
      <x:c r="O66" s="6" t="str"/>
    </x:row>
    <x:row r="67" ht="78" customHeight="1">
      <x:c r="A67" s="3" t="str">
        <x:v>audit-066</x:v>
      </x:c>
      <x:c r="B67" s="3" t="str">
        <x:v>episode-42-cli</x:v>
      </x:c>
      <x:c r="C67" s="3" t="str">
        <x:v>47岁 女性 康复机构护理助理
主诉：全身乏力和低热
病史要点：年龄：47岁 ｜ 性别：女性 ｜ 职业：康复机构护理助理 ｜ 主诉：全身乏力和低热 ｜ 症状：全身乏力和低热 ｜ 症状：腹部疼痛 ｜ 症状：恶心 ｜ 症状：尿色加深 ｜ 既往史：2型糖尿病
既往史：2型糖尿病</x:v>
      </x:c>
      <x:c r="D67" s="3" t="str">
        <x:v>活动性慢性乙型肝炎感染</x:v>
      </x:c>
      <x:c r="E67" s="3" t="str">
        <x:v>活动性慢性乙型肝炎感染</x:v>
      </x:c>
      <x:c r="F67" s="3" t="str">
        <x:v>当前诊断仍需进一步明确</x:v>
      </x:c>
      <x:c r="G67" s="3" t="str">
        <x:v>年龄：47岁 ｜ 性别：女性 ｜ 职业：康复机构护理助理 ｜ 主诉：全身乏力和低热 ｜ 症状：全身乏力和低热 ｜ 症状：腹部疼痛</x:v>
      </x:c>
      <x:c r="H67" s="3" t="str">
        <x:v>先给予对症处理。 ｜ 交代危险信号，如症状加重及时复诊或急诊就医。</x:v>
      </x:c>
      <x:c r="I67" s="3" t="str">
        <x:v>如症状加重应立即就医。 ｜ 按医嘱完成复查或复诊。</x:v>
      </x:c>
      <x:c r="J67" s="3" t="str">
        <x:v>全身乏力和低热 ｜ 腹部疼痛 ｜ 恶心 ｜ 尿色加深 ｜ 体温38.1°C；血压110/74 mmHg；心率99次/分 ｜ 显得疲倦；巩膜轻度黄染；肝大并有压痛 ｜ 肝功能明显异常，胆红素升高 ｜ 乙肝表面抗原、核心抗体和e抗原阳性</x:v>
      </x:c>
      <x:c r="K67" s="3" t="str">
        <x:v>感染科或消化科进一步评估或随访 ｜ 根据当前诊断给予规范化治疗 ｜ 必要时完善进一步检查并评估严重程度 ｜ 监测病情变化并进行风险告知</x:v>
      </x:c>
      <x:c r="L67" s="6" t="str"/>
      <x:c r="M67" s="6" t="str"/>
      <x:c r="N67" s="6" t="str"/>
      <x:c r="O67" s="6" t="str"/>
    </x:row>
    <x:row r="68" ht="78" customHeight="1">
      <x:c r="A68" s="3" t="str">
        <x:v>audit-067</x:v>
      </x:c>
      <x:c r="B68" s="3" t="str">
        <x:v>episode-535-cli</x:v>
      </x:c>
      <x:c r="C68" s="3" t="str">
        <x:v>55岁 男性 卡车司机
主诉：持续咳嗽
病史要点：年龄：55岁 ｜ 性别：男性 ｜ 职业：卡车司机 ｜ 主诉：持续咳嗽 ｜ 病程：3个月 ｜ 症状：持续咳嗽 ｜ 症状：活动后气短 ｜ 症状：清痰 ｜ 病情特点：爬楼和步行数个街区即气短 ｜ 病情特点：无胸痛 ｜ 病情特点：无近期体重下降 ｜ 既往史：高血压10年，高脂血症。既往吸烟30包年，2年前戒烟。 ｜ 吸烟史：既往吸烟30包年，2年前戒烟 ｜ 饮酒史：不饮酒 ｜ 否认：无发热 ｜ 否认：无盗汗 ｜ 否认：无咯血 ｜ 否认：无其他心血管症状
既往史：高血压10年，高脂血症。既往吸烟30包年，2年前戒烟。</x:v>
      </x:c>
      <x:c r="D68" s="3" t="str">
        <x:v>慢性阻塞性肺疾病</x:v>
      </x:c>
      <x:c r="E68" s="3" t="str">
        <x:v>慢性阻塞性肺疾病 ｜ COPD</x:v>
      </x:c>
      <x:c r="F68" s="3" t="str">
        <x:v>慢性阻塞性肺疾病</x:v>
      </x:c>
      <x:c r="G68" s="3" t="str">
        <x:v>胸部X线显示前后径增大，膈肌变平，肺纹理增多，提示COPD；未见急性浸润。</x:v>
      </x:c>
      <x:c r="H68" s="3" t="str">
        <x:v>安排肺功能检查以确认气流受限情况 ｜ 制定个体化治疗方案，包括戒烟指导和药物治疗 ｜ 定期随访监测病情变化</x:v>
      </x:c>
      <x:c r="I68" s="3" t="str">
        <x:v>建议1个月后复诊评估治疗效果 ｜ 如症状加重或出现新症状，及时就诊</x:v>
      </x:c>
      <x:c r="J68" s="3" t="str">
        <x:v>持续咳嗽3个月 ｜ 活动后气短 ｜ 既往吸烟30包年 ｜ 辅助呼吸肌使用 ｜ 双侧呼吸音减弱和散在哮鸣音 ｜ 胸片示前后径增大和膈肌变平 ｜ 肺功能FEV1/FVC 0.60</x:v>
      </x:c>
      <x:c r="K68" s="3" t="str">
        <x:v>呼吸内科进一步评估或随访 ｜ 规范吸入治疗并进行肺康复指导 ｜ 评估COPD严重度及疫苗预防 ｜ 监测急性加重和低氧风险</x:v>
      </x:c>
      <x:c r="L68" s="6" t="str"/>
      <x:c r="M68" s="6" t="str"/>
      <x:c r="N68" s="6" t="str"/>
      <x:c r="O68" s="6" t="str"/>
    </x:row>
    <x:row r="69" ht="78" customHeight="1">
      <x:c r="A69" s="3" t="str">
        <x:v>audit-068</x:v>
      </x:c>
      <x:c r="B69" s="3" t="str">
        <x:v>episode-515-cli</x:v>
      </x:c>
      <x:c r="C69" s="3" t="str">
        <x:v>27岁 男性 图书管理员
主诉：持续干咳
病史要点：年龄：27岁 ｜ 性别：男性 ｜ 职业：图书管理员 ｜ 主诉：持续干咳 ｜ 病程：3周 ｜ 症状：持续干咳 ｜ 症状：活动后气短 ｜ 症状：疲劳 ｜ 病情特点：无上呼吸道感染前驱 ｜ 病情特点：无发热 ｜ 病情特点：无胸痛 ｜ 既往史：轻度哮喘，偶尔使用吸入器。 ｜ 吸烟史：不吸烟 ｜ 饮酒史：不饮酒 ｜ 否认：无体重下降 ｜ 否认：无盗汗 ｜ 否认：无咯血 ｜ 否认：无近期旅行史
既往史：轻度哮喘，偶尔使用吸入器。</x:v>
      </x:c>
      <x:c r="D69" s="3" t="str">
        <x:v>哮喘加重</x:v>
      </x:c>
      <x:c r="E69" s="3" t="str">
        <x:v>哮喘加重 ｜ 支气管哮喘急性加重</x:v>
      </x:c>
      <x:c r="F69" s="3" t="str">
        <x:v>慢性支气管炎</x:v>
      </x:c>
      <x:c r="G69" s="3" t="str">
        <x:v>持续干咳三周，活动后气短，胸部X线显示双肺过度充气，未见实变或胸腔积液。</x:v>
      </x:c>
      <x:c r="H69" s="3" t="str">
        <x:v>建议进行肺功能测试以进一步评估呼吸功能。</x:v>
      </x:c>
      <x:c r="I69" s="3" t="str">
        <x:v>请预约肺功能测试，并在测试后复诊。</x:v>
      </x:c>
      <x:c r="J69" s="3" t="str">
        <x:v>持续干咳3周 ｜ 活动后气短 ｜ 既往轻度哮喘病史 ｜ 双侧呼气相哮鸣音 ｜ 胸片过度充气 ｜ 肺功能提示阻塞性通气模式</x:v>
      </x:c>
      <x:c r="K69" s="3" t="str">
        <x:v>呼吸内科进一步评估或随访 ｜ 给予吸入支气管扩张剂和抗炎治疗 ｜ 评估诱因并优化长期控制方案 ｜ 监测症状控制与峰流速</x:v>
      </x:c>
      <x:c r="L69" s="6" t="str"/>
      <x:c r="M69" s="6" t="str"/>
      <x:c r="N69" s="6" t="str"/>
      <x:c r="O69" s="6" t="str"/>
    </x:row>
    <x:row r="70" ht="78" customHeight="1">
      <x:c r="A70" s="3" t="str">
        <x:v>audit-069</x:v>
      </x:c>
      <x:c r="B70" s="3" t="str">
        <x:v>episode-57-cli</x:v>
      </x:c>
      <x:c r="C70" s="3" t="str">
        <x:v>9岁
主诉：全身性非瘙痒性皮疹
病史要点：年龄：9岁 ｜ 主诉：全身性非瘙痒性皮疹 ｜ 症状：全身性非瘙痒性皮疹 ｜ 症状：近期高热（40.5°C） ｜ 症状：曾有一次全身强直-阵挛性癫痫发作 ｜ 既往史：无明显既往病史，免疫接种完整
既往史：无明显既往病史，免疫接种完整</x:v>
      </x:c>
      <x:c r="D70" s="3" t="str">
        <x:v>幼儿急疹</x:v>
      </x:c>
      <x:c r="E70" s="3" t="str">
        <x:v>幼儿急疹</x:v>
      </x:c>
      <x:c r="F70" s="3" t="str">
        <x:v>当前诊断仍需进一步明确</x:v>
      </x:c>
      <x:c r="G70" s="3" t="str">
        <x:v>年龄：9岁 ｜ 主诉：全身性非瘙痒性皮疹 ｜ 症状：全身性非瘙痒性皮疹 ｜ 症状：近期高热（40.5°C）</x:v>
      </x:c>
      <x:c r="H70" s="3" t="str">
        <x:v>先给予对症处理。 ｜ 交代危险信号，如症状加重及时复诊或急诊就医。</x:v>
      </x:c>
      <x:c r="I70" s="3" t="str">
        <x:v>如症状加重应立即就医。 ｜ 按医嘱完成复查或复诊。</x:v>
      </x:c>
      <x:c r="J70" s="3" t="str">
        <x:v>全身性非瘙痒性皮疹 ｜ 近期高热 ｜ 曾有全身强直-阵挛性癫痫发作 ｜ 体温37.2°C；心率120次/分；呼吸频率年龄相符 ｜ 斑丘疹按压褪色，先躯干后四肢；耳后淋巴结肿大 ｜ 血常规和电解质基本正常</x:v>
      </x:c>
      <x:c r="K70" s="3" t="str">
        <x:v>儿科进一步评估或随访 ｜ 根据当前诊断给予规范化对症治疗 ｜ 必要时完善进一步检查并评估严重程度 ｜ 监测病情变化并进行风险告知</x:v>
      </x:c>
      <x:c r="L70" s="6" t="str"/>
      <x:c r="M70" s="6" t="str"/>
      <x:c r="N70" s="6" t="str"/>
      <x:c r="O70" s="6" t="str"/>
    </x:row>
    <x:row r="71" ht="78" customHeight="1">
      <x:c r="A71" s="3" t="str">
        <x:v>audit-070</x:v>
      </x:c>
      <x:c r="B71" s="3" t="str">
        <x:v>episode-77-cli</x:v>
      </x:c>
      <x:c r="C71" s="3" t="str">
        <x:v>30岁 男性
主诉：左侧胸痛
病史要点：年龄：30岁 ｜ 性别：男性 ｜ 主诉：左侧胸痛 ｜ 症状：左侧胸痛 ｜ 症状：咳脓痰 ｜ 症状：呼吸困难 ｜ 既往史：近期诊断为流感，但治疗依从性差。无其他明显内外科病史 ｜ 吸烟史：不吸烟
既往史：近期诊断为流感，但治疗依从性差。无其他明显内外科病史</x:v>
      </x:c>
      <x:c r="D71" s="3" t="str">
        <x:v>肺炎</x:v>
      </x:c>
      <x:c r="E71" s="3" t="str">
        <x:v>肺炎</x:v>
      </x:c>
      <x:c r="F71" s="3" t="str">
        <x:v>左侧肺炎</x:v>
      </x:c>
      <x:c r="G71" s="3" t="str">
        <x:v>影像学检查类: 胸部X线：结果：左肺底肺泡性浸润影，伴空气支气管征</x:v>
      </x:c>
      <x:c r="H71" s="3" t="str">
        <x:v>开始抗生素治疗，密切观察病情变化。</x:v>
      </x:c>
      <x:c r="I71" s="3" t="str">
        <x:v>建议住院治疗并进行进一步评估。</x:v>
      </x:c>
      <x:c r="J71" s="3" t="str">
        <x:v>左侧胸痛 ｜ 咳脓痰 ｜ 呼吸困难 ｜ 体温38.7°C；血压120/60 mmHg；心率70次/分；呼吸频率22次/分；血氧80% ｜ 左肺底呼吸音减弱、湿啰音及叩诊浊音 ｜ 白细胞升高，中性粒细胞比例高 ｜ 胸片示左肺底肺泡性浸润伴空气支气管征</x:v>
      </x:c>
      <x:c r="K71" s="3" t="str">
        <x:v>呼吸科进一步评估或随访 ｜ 根据当前诊断给予规范化抗感染治疗 ｜ 必要时完善进一步检查并评估严重程度 ｜ 监测病情变化并进行风险告知</x:v>
      </x:c>
      <x:c r="L71" s="6" t="str"/>
      <x:c r="M71" s="6" t="str"/>
      <x:c r="N71" s="6" t="str"/>
      <x:c r="O71" s="6" t="str"/>
    </x:row>
    <x:row r="72" ht="78" customHeight="1">
      <x:c r="A72" s="3" t="str">
        <x:v>audit-071</x:v>
      </x:c>
      <x:c r="B72" s="3" t="str">
        <x:v>episode-340-cli</x:v>
      </x:c>
      <x:c r="C72" s="3" t="str">
        <x:v>39岁 男性 未提供
主诉：阴茎反复疼痛性溃疡
病史要点：年龄：39岁 ｜ 性别：男性 ｜ 职业：未提供 ｜ 主诉：阴茎反复疼痛性溃疡 ｜ 病程：1年 ｜ 症状：阴茎反复出现疼痛性糜烂和溃疡 ｜ 病情特点：约每月发作一次 ｜ 病情特点：可自行愈合后再次复发 ｜ 病情特点：既往有HIV感染并接受抗逆转录病毒治疗 ｜ 既往史：HIV感染，正在接受抗逆转录病毒治疗。 ｜ 否认：未提供其他系统症状
既往史：HIV感染，正在接受抗逆转录病毒治疗。</x:v>
      </x:c>
      <x:c r="D72" s="3" t="str">
        <x:v>增殖型疱疹</x:v>
      </x:c>
      <x:c r="E72" s="3" t="str">
        <x:v>增殖型疱疹 ｜ 疣状疱疹</x:v>
      </x:c>
      <x:c r="F72" s="3" t="str">
        <x:v>梅毒感染</x:v>
      </x:c>
      <x:c r="G72" s="3" t="str">
        <x:v>反复出现的疼痛性溃疡 ｜ HIV病毒载量：450 copies/ml ｜ CD4计数：494/mm3</x:v>
      </x:c>
      <x:c r="H72" s="3" t="str">
        <x:v>开始抗生素治疗 ｜ 定期随访以监测病情</x:v>
      </x:c>
      <x:c r="I72" s="3" t="str">
        <x:v>定期复查HIV病毒载量和CD4计数 ｜ 评估溃疡愈合情况</x:v>
      </x:c>
      <x:c r="J72" s="3" t="str">
        <x:v>HIV背景 ｜ 反复疼痛性生殖器溃疡 ｜ 病理示坏死和假上皮瘤样增生 ｜ NGS支持疱疹病毒感染 ｜ 与典型尖锐湿疣或梅毒疣不符</x:v>
      </x:c>
      <x:c r="K72" s="3" t="str">
        <x:v>皮肤科/感染科评估 ｜ 给予系统抗疱疹病毒治疗 ｜ 评估耐药可能和免疫状态 ｜ 随访溃疡复发和继发感染</x:v>
      </x:c>
      <x:c r="L72" s="6" t="str"/>
      <x:c r="M72" s="6" t="str"/>
      <x:c r="N72" s="6" t="str"/>
      <x:c r="O72" s="6" t="str"/>
    </x:row>
    <x:row r="73" ht="78" customHeight="1">
      <x:c r="A73" s="3" t="str">
        <x:v>audit-072</x:v>
      </x:c>
      <x:c r="B73" s="3" t="str">
        <x:v>episode-414-cli</x:v>
      </x:c>
      <x:c r="C73" s="3" t="str">
        <x:v>48岁 女性 未提供
主诉：牙龈肿痛
病史要点：年龄：48岁 ｜ 性别：女性 ｜ 职业：未提供 ｜ 主诉：牙龈肿痛 ｜ 病程：1周 ｜ 症状：疲劳 ｜ 症状：牙龈疼痛 ｜ 症状：牙龈肿胀 ｜ 病情特点：伴发热 ｜ 病情特点：伴心动过速 ｜ 病情特点：可见牙龈浸润及发白区域 ｜ 病情特点：有颌下淋巴结肿大 ｜ 既往史：未提供。 ｜ 吸烟史：未提供 ｜ 饮酒史：未提供 ｜ 否认：未提供明确局部真菌感染证据
既往史：未提供。</x:v>
      </x:c>
      <x:c r="D73" s="3" t="str">
        <x:v>白血病性牙龈浸润</x:v>
      </x:c>
      <x:c r="E73" s="3" t="str">
        <x:v>白血病性牙龈浸润</x:v>
      </x:c>
      <x:c r="F73" s="3" t="str">
        <x:v>牙龈炎</x:v>
      </x:c>
      <x:c r="G73" s="3" t="str">
        <x:v>实验室检查类: 血液检查：白细胞计数：225,000 per cubic millimeter</x:v>
      </x:c>
      <x:c r="H73" s="3" t="str">
        <x:v>进行牙周治疗 ｜ 保持口腔卫生</x:v>
      </x:c>
      <x:c r="I73" s="3" t="str">
        <x:v>定期复查牙龈状况</x:v>
      </x:c>
      <x:c r="J73" s="3" t="str">
        <x:v>疲劳 ｜ 牙龈疼痛肿胀 ｜ 牙龈浸润和发白 ｜ 发热 ｜ 心动过速 ｜ 颌下淋巴结肿大 ｜ 白细胞计数225,000/mm3</x:v>
      </x:c>
      <x:c r="K73" s="3" t="str">
        <x:v>血液科紧急进一步评估 ｜ 完善骨髓和免疫分型检查 ｜ 监测高白细胞血症并发症 ｜ 给予支持治疗和后续规范治疗</x:v>
      </x:c>
      <x:c r="L73" s="6" t="str"/>
      <x:c r="M73" s="6" t="str"/>
      <x:c r="N73" s="6" t="str"/>
      <x:c r="O73" s="6" t="str"/>
    </x:row>
    <x:row r="74" ht="78" customHeight="1">
      <x:c r="A74" s="3" t="str">
        <x:v>audit-073</x:v>
      </x:c>
      <x:c r="B74" s="3" t="str">
        <x:v>episode-64-cli</x:v>
      </x:c>
      <x:c r="C74" s="3" t="str">
        <x:v>47岁 男性
主诉：右大腿剧烈瘙痒
病史要点：年龄：47岁 ｜ 性别：男性 ｜ 主诉：右大腿剧烈瘙痒 ｜ 症状：右大腿剧烈瘙痒 ｜ 症状：近期出现红色丘疹 ｜ 症状：左小腿及右前臂也有瘙痒 ｜ 症状：受累区域可见抓痕 ｜ 既往史：高血压、2型糖尿病、高脂血症。用药：依那普利、二甲双胍、阿托伐他汀 ｜ 吸烟史：不吸烟
既往史：高血压、2型糖尿病、高脂血症。用药：依那普利、二甲双胍、阿托伐他汀</x:v>
      </x:c>
      <x:c r="D74" s="3" t="str">
        <x:v>臭虫叮咬</x:v>
      </x:c>
      <x:c r="E74" s="3" t="str">
        <x:v>臭虫叮咬</x:v>
      </x:c>
      <x:c r="F74" s="3" t="str">
        <x:v>荨麻疹</x:v>
      </x:c>
      <x:c r="G74" s="3" t="str">
        <x:v>右大腿内侧可见线状分布的3个红色丘疹；左小腿和右前臂可见成排小丘疹；丘疹区域可见明显抓痕。</x:v>
      </x:c>
      <x:c r="H74" s="3" t="str">
        <x:v>建议使用抗组胺药物缓解症状，并避免接触可能的过敏原。</x:v>
      </x:c>
      <x:c r="I74" s="3" t="str">
        <x:v>如果症状持续或加重，请及时复诊。</x:v>
      </x:c>
      <x:c r="J74" s="3" t="str">
        <x:v>右大腿剧烈瘙痒 ｜ 近期出现红色丘疹 ｜ 左小腿及右前臂也有瘙痒 ｜ 受累区域可见抓痕 ｜ 体温37°C；血压130/85 mmHg；心率72次/分；呼吸频率14次/分 ｜ 皮损呈线状或成排分布，伴明显抓痕 ｜ 血常规无明显异常 ｜ 皮肤刮片未见螨虫或虫卵</x:v>
      </x:c>
      <x:c r="K74" s="3" t="str">
        <x:v>皮肤科进一步评估或随访 ｜ 根据当前诊断给予规范化对症处理 ｜ 必要时完善进一步检查并评估严重程度 ｜ 监测病情变化并进行风险告知</x:v>
      </x:c>
      <x:c r="L74" s="6" t="str"/>
      <x:c r="M74" s="6" t="str"/>
      <x:c r="N74" s="6" t="str"/>
      <x:c r="O74" s="6" t="str"/>
    </x:row>
    <x:row r="75" ht="78" customHeight="1">
      <x:c r="A75" s="3" t="str">
        <x:v>audit-074</x:v>
      </x:c>
      <x:c r="B75" s="3" t="str">
        <x:v>episode-503-cli</x:v>
      </x:c>
      <x:c r="C75" s="3" t="str">
        <x:v>55岁 男性 建筑从业者
主诉：持续干咳
病史要点：年龄：55岁 ｜ 性别：男性 ｜ 职业：建筑从业者 ｜ 主诉：持续干咳 ｜ 病程：6周 ｜ 症状：持续干咳 ｜ 症状：活动后气短 ｜ 症状：偶有哮鸣 ｜ 病情特点：夜间加重影响睡眠 ｜ 病情特点：无发热 ｜ 病情特点：无体重下降 ｜ 既往史：慢性鼻窦炎和季节性过敏。无哮喘或COPD病史。吸烟20包年。 ｜ 吸烟史：20包年 ｜ 饮酒史：偶尔饮酒 ｜ 否认：无胸痛 ｜ 否认：无咯血 ｜ 否认：无寒战 ｜ 否认：无盗汗
既往史：慢性鼻窦炎和季节性过敏。无哮喘或COPD病史。吸烟20包年。</x:v>
      </x:c>
      <x:c r="D75" s="3" t="str">
        <x:v>慢性阻塞性肺疾病伴哮喘成分</x:v>
      </x:c>
      <x:c r="E75" s="3" t="str">
        <x:v>慢性阻塞性肺疾病伴哮喘成分 ｜ COPD伴哮喘成分</x:v>
      </x:c>
      <x:c r="F75" s="3" t="str">
        <x:v>慢性阻塞性肺疾病</x:v>
      </x:c>
      <x:c r="G75" s="3" t="str">
        <x:v>持续干咳、活动后气短 ｜ 胸部X线显示双肺过度充气</x:v>
      </x:c>
      <x:c r="H75" s="3" t="str">
        <x:v>建议戒烟并避免粉尘暴露 ｜ 开始使用支气管扩张剂治疗 ｜ 定期随访评估病情变化</x:v>
      </x:c>
      <x:c r="I75" s="3" t="str">
        <x:v>建议1个月后复诊评估治疗效果 ｜ 如症状加重应及时就诊</x:v>
      </x:c>
      <x:c r="J75" s="3" t="str">
        <x:v>持续干咳6周，夜间加重 ｜ 活动后气短和偶有哮鸣 ｜ 吸烟20包年 ｜ 肺功能FEV1/FVC 65%下降 ｜ 支气管舒张后FEV1改善15%，提示可逆成分 ｜ 胸片示双肺过度充气</x:v>
      </x:c>
      <x:c r="K75" s="3" t="str">
        <x:v>呼吸内科进一步评估或随访 ｜ 兼顾吸入糖皮质激素与支气管扩张剂方案 ｜ 进行戒烟教育 ｜ 监测症状控制与肺功能变化</x:v>
      </x:c>
      <x:c r="L75" s="6" t="str"/>
      <x:c r="M75" s="6" t="str"/>
      <x:c r="N75" s="6" t="str"/>
      <x:c r="O75" s="6" t="str"/>
    </x:row>
    <x:row r="76" ht="78" customHeight="1">
      <x:c r="A76" s="3" t="str">
        <x:v>audit-075</x:v>
      </x:c>
      <x:c r="B76" s="3" t="str">
        <x:v>episode-34-cli</x:v>
      </x:c>
      <x:c r="C76" s="3" t="str">
        <x:v>11岁 女性
主诉：躯干和四肢轻度瘙痒性皮疹
病史要点：年龄：11岁 ｜ 性别：女性 ｜ 主诉：躯干和四肢轻度瘙痒性皮疹 ｜ 症状：躯干和四肢轻度瘙痒性皮疹 ｜ 症状：低热 ｜ 症状：流涕 ｜ 症状：头痛 ｜ 症状：面部皮疹但口周皮肤未受累 ｜ 既往史：无明显既往病史
既往史：无明显既往病史</x:v>
      </x:c>
      <x:c r="D76" s="3" t="str">
        <x:v>传染性红斑</x:v>
      </x:c>
      <x:c r="E76" s="3" t="str">
        <x:v>传染性红斑</x:v>
      </x:c>
      <x:c r="F76" s="3" t="str">
        <x:v>传染性红斑</x:v>
      </x:c>
      <x:c r="G76" s="3" t="str">
        <x:v>躯干和四肢瘙痒性皮疹，面部皮疹但口周不受累，伴有低热、流涕和头痛</x:v>
      </x:c>
      <x:c r="H76" s="3" t="str">
        <x:v>给予对症支持治疗，如抗组胺药缓解瘙痒，退热药物控制体温。建议保持皮肤清洁，避免搔抓。</x:v>
      </x:c>
      <x:c r="I76" s="3" t="str">
        <x:v>门诊随访，观察病情变化。告知免疫抑制患儿及孕妇接触风险。</x:v>
      </x:c>
      <x:c r="J76" s="3" t="str">
        <x:v>躯干和四肢轻度瘙痒性皮疹 ｜ 低热 ｜ 流涕 ｜ 头痛 ｜ 体温37.4°C；血压100/70 mmHg；心率80次/分；呼吸频率18次/分 ｜ 躯干和四肢网状花边样皮疹，面部受累但口周保留 ｜ 白细胞正常；血红蛋白正常；血小板轻度升高 ｜ A组链球菌培养阴性</x:v>
      </x:c>
      <x:c r="K76" s="3" t="str">
        <x:v>儿科进一步评估或随访 ｜ 根据当前诊断给予规范化对症治疗 ｜ 必要时完善进一步检查并评估严重程度 ｜ 监测病情变化并进行风险告知</x:v>
      </x:c>
      <x:c r="L76" s="6" t="str"/>
      <x:c r="M76" s="6" t="str"/>
      <x:c r="N76" s="6" t="str"/>
      <x:c r="O76" s="6" t="str"/>
    </x:row>
    <x:row r="77" ht="78" customHeight="1">
      <x:c r="A77" s="3" t="str">
        <x:v>audit-076</x:v>
      </x:c>
      <x:c r="B77" s="3" t="str">
        <x:v>episode-1-cli</x:v>
      </x:c>
      <x:c r="C77" s="3" t="str">
        <x:v>35岁 女性
主诉：行走困难，伴醉酒样步态
病史要点：年龄：35岁 ｜ 性别：女性 ｜ 主诉：行走困难，伴醉酒样步态 ｜ 症状：行走困难，伴醉酒样步态 ｜ 症状：步态共济失调 ｜ 症状：肢体共济失调 ｜ 症状：右上肢肌力减弱 ｜ 病情特点：新近出现 ｜ 既往史：2年前诊断为克罗恩病，过去1年一直使用那他珠单抗治疗
既往史：2年前诊断为克罗恩病，过去1年一直使用那他珠单抗治疗</x:v>
      </x:c>
      <x:c r="D77" s="3" t="str">
        <x:v>进行性多灶性脑白质脑病（PML）</x:v>
      </x:c>
      <x:c r="E77" s="3" t="str">
        <x:v>进行性多灶性脑白质脑病（PML） ｜ PML</x:v>
      </x:c>
      <x:c r="F77" s="3" t="str">
        <x:v>进行性多灶性脑白质脑病（PML）</x:v>
      </x:c>
      <x:c r="G77" s="3" t="str">
        <x:v>脑MRI显示多灶性脱髓鞘病灶，无钆增强，提示PML。</x:v>
      </x:c>
      <x:c r="H77" s="3" t="str">
        <x:v>开始针对PML的治疗方案 ｜ 安排神经科进一步评估和随访</x:v>
      </x:c>
      <x:c r="I77" s="3" t="str">
        <x:v>定期复查脑MRI ｜ 监测症状变化并调整治疗方案</x:v>
      </x:c>
      <x:c r="J77" s="3" t="str">
        <x:v>行走困难，伴醉酒样步态 ｜ 步态共济失调 ｜ 肢体共济失调 ｜ 右上肢肌力减弱 ｜ 体温正常；血压正常范围内；心率正常范围内；呼吸频率正常范围内 ｜ 可见共济失调步态；右上肢肌力4/5；可见共济失调表现 ｜ 脑MRI显示多灶性脱髓鞘病灶，无钆增强，提示进行性多灶性脑白质脑病</x:v>
      </x:c>
      <x:c r="K77" s="3" t="str">
        <x:v>神经专科进一步评估或随访 ｜ 根据当前诊断给予规范化对症治疗 ｜ 必要时完善进一步检查并评估严重程度 ｜ 监测病情变化并进行风险告知</x:v>
      </x:c>
      <x:c r="L77" s="6" t="str"/>
      <x:c r="M77" s="6" t="str"/>
      <x:c r="N77" s="6" t="str"/>
      <x:c r="O77" s="6" t="str"/>
    </x:row>
    <x:row r="78" ht="78" customHeight="1">
      <x:c r="A78" s="3" t="str">
        <x:v>audit-077</x:v>
      </x:c>
      <x:c r="B78" s="3" t="str">
        <x:v>episode-195-cli</x:v>
      </x:c>
      <x:c r="C78" s="3" t="str">
        <x:v>55岁 男性
主诉：行为异常
病史要点：年龄：55岁 ｜ 性别：男性 ｜ 主诉：行为异常 ｜ 病程：6个月 ｜ 症状：说话和行为不合时宜 ｜ 症状：试图亲吻陌生人 ｜ 症状：对家人互动失去兴趣 ｜ 症状：特别渴望巧克力布丁和薯片 ｜ 症状：体重增加10公斤 ｜ 症状：淡漠 ｜ 病情特点：外表变得不修边幅 ｜ 既往史：未提供明显既往病史 ｜ 否认：无近期体重减轻 ｜ 否认：无发热 ｜ 否认：无盗汗 ｜ 否认：无其他部位疼痛
既往史：未提供明显既往病史</x:v>
      </x:c>
      <x:c r="D78" s="3" t="str">
        <x:v>额颞叶痴呆</x:v>
      </x:c>
      <x:c r="E78" s="3" t="str">
        <x:v>额颞叶痴呆 ｜ 行为变异型额颞叶痴呆</x:v>
      </x:c>
      <x:c r="F78" s="3" t="str">
        <x:v>行为变异型额颞叶痴呆</x:v>
      </x:c>
      <x:c r="G78" s="3" t="str">
        <x:v>患者表现出社交不当、行为失抑制、情感淡漠及饮食偏好改变。 ｜ 患者年龄符合该病的常见发病年龄，且无其他明确诱因。 ｜ 目前缺乏神经影像学检查结果，但根据症状高度提示该病。</x:v>
      </x:c>
      <x:c r="H78" s="3" t="str">
        <x:v>立即安排头颅MRI以评估额颞叶萎缩模式。 ｜ 进行神经心理学评估（执行功能、社会认知）。 ｜ 排除其他可能病因（如甲状腺功能、梅毒、HIV等）。</x:v>
      </x:c>
      <x:c r="I78" s="3" t="str">
        <x:v>启动家庭照护安全教育和遗传咨询。 ｜ 根据检查结果调整治疗方案。 ｜ 定期随访以监测病情进展。</x:v>
      </x:c>
      <x:c r="J78" s="3" t="str">
        <x:v>明显行为失抑制 ｜ 淡漠 ｜ 社交不当 ｜ 嗜甜和饮食习惯改变 ｜ 体重增加 ｜ MMSE可相对保留</x:v>
      </x:c>
      <x:c r="K78" s="3" t="str">
        <x:v>神经内科或记忆门诊进一步评估 ｜ 完善脑影像和神经心理测评 ｜ 进行家庭照护与安全管理 ｜ 监测行为问题进展</x:v>
      </x:c>
      <x:c r="L78" s="6" t="str"/>
      <x:c r="M78" s="6" t="str"/>
      <x:c r="N78" s="6" t="str"/>
      <x:c r="O78" s="6" t="str"/>
    </x:row>
    <x:row r="79" ht="78" customHeight="1">
      <x:c r="A79" s="3" t="str">
        <x:v>audit-078</x:v>
      </x:c>
      <x:c r="B79" s="3" t="str">
        <x:v>episode-526-cli</x:v>
      </x:c>
      <x:c r="C79" s="3" t="str">
        <x:v>45岁 男性 建筑工人
主诉：持续咳嗽伴黄痰
病史要点：年龄：45岁 ｜ 性别：男性 ｜ 职业：建筑工人 ｜ 主诉：持续咳嗽伴黄痰 ｜ 病程：4周 ｜ 症状：持续咳嗽 ｜ 症状：黄痰 ｜ 症状：活动后气短 ｜ 症状：偶有哮鸣 ｜ 症状：疲劳 ｜ 病情特点：无胸痛 ｜ 病情特点：无发热 ｜ 病情特点：无体重下降 ｜ 病情特点：无盗汗 ｜ 既往史：慢性支气管炎。无其他显著病史。 ｜ 吸烟史：每日20支，25年 ｜ 饮酒史：社交性饮酒 ｜ 否认：无咯血 ｜ 否认：无心悸
既往史：慢性支气管炎。无其他显著病史。</x:v>
      </x:c>
      <x:c r="D79" s="3" t="str">
        <x:v>慢性阻塞性肺疾病</x:v>
      </x:c>
      <x:c r="E79" s="3" t="str">
        <x:v>慢性阻塞性肺疾病 ｜ COPD</x:v>
      </x:c>
      <x:c r="F79" s="3" t="str">
        <x:v>当前诊断仍需进一步明确</x:v>
      </x:c>
      <x:c r="G79" s="3" t="str">
        <x:v>年龄：45岁 ｜ 性别：男性 ｜ 职业：建筑工人 ｜ 主诉：持续咳嗽伴黄痰 ｜ 病程：4周 ｜ 症状：持续咳嗽</x:v>
      </x:c>
      <x:c r="H79" s="3" t="str">
        <x:v>先给予对症处理。 ｜ 交代危险信号，如症状加重及时复诊或急诊就医。</x:v>
      </x:c>
      <x:c r="I79" s="3" t="str">
        <x:v>如症状加重应立即就医。 ｜ 按医嘱完成复查或复诊。</x:v>
      </x:c>
      <x:c r="J79" s="3" t="str">
        <x:v>慢性支气管炎背景 ｜ 持续咳黄痰和活动后气短 ｜ 长期吸烟25年 ｜ 广泛哮鸣音 ｜ 胸片提示慢性支气管炎改变 ｜ 肺功能FEV1/FVC 0.65下降</x:v>
      </x:c>
      <x:c r="K79" s="3" t="str">
        <x:v>呼吸内科进一步评估或随访 ｜ 进行戒烟和规范吸入治疗 ｜ 慢支与COPD长期管理 ｜ 监测急性加重和症状变化</x:v>
      </x:c>
      <x:c r="L79" s="6" t="str"/>
      <x:c r="M79" s="6" t="str"/>
      <x:c r="N79" s="6" t="str"/>
      <x:c r="O79" s="6" t="str"/>
    </x:row>
    <x:row r="80" ht="78" customHeight="1">
      <x:c r="A80" s="3" t="str">
        <x:v>audit-079</x:v>
      </x:c>
      <x:c r="B80" s="3" t="str">
        <x:v>episode-44-cli</x:v>
      </x:c>
      <x:c r="C80" s="3" t="str">
        <x:v>59岁 女性
主诉：阵发性咳嗽和呼吸困难
病史要点：年龄：59岁 ｜ 性别：女性 ｜ 主诉：阵发性咳嗽和呼吸困难 ｜ 症状：阵发性咳嗽和呼吸困难 ｜ 症状：活动及夜间咳嗽加重 ｜ 症状：近期有发热、咽痛、鼻塞等上呼吸道感染症状 ｜ 既往史：高血压10年，服用依那普利；吸烟史16年，每日半包
既往史：高血压10年，服用依那普利；吸烟史16年，每日半包</x:v>
      </x:c>
      <x:c r="D80" s="3" t="str">
        <x:v>哮喘</x:v>
      </x:c>
      <x:c r="E80" s="3" t="str">
        <x:v>哮喘</x:v>
      </x:c>
      <x:c r="F80" s="3" t="str">
        <x:v>当前诊断仍需进一步明确</x:v>
      </x:c>
      <x:c r="G80" s="3" t="str">
        <x:v>年龄：59岁 ｜ 性别：女性 ｜ 主诉：阵发性咳嗽和呼吸困难 ｜ 症状：阵发性咳嗽和呼吸困难 ｜ 体格检查类: 生命体征：血压：145/95 mmHg；心率：78次/分；呼吸频率：18次/分；血氧饱和度：96%（室内空气）；呼吸系统查体：视诊：未见明显异常；触诊：语颤未见明显异常；叩诊：清音；听诊：双肺弥漫性呼气末哮鸣音</x:v>
      </x:c>
      <x:c r="H80" s="3" t="str">
        <x:v>先给予对症处理。 ｜ 交代危险信号，如症状加重及时复诊或急诊就医。</x:v>
      </x:c>
      <x:c r="I80" s="3" t="str">
        <x:v>如症状加重应立即就医。 ｜ 按医嘱完成复查或复诊。</x:v>
      </x:c>
      <x:c r="J80" s="3" t="str">
        <x:v>阵发性咳嗽和呼吸困难 ｜ 活动及夜间加重 ｜ 近期有上呼吸道感染症状 ｜ 血压145/95 mmHg；心率78次/分；呼吸18次/分；血氧96% ｜ 双肺弥漫性呼气末哮鸣音 ｜ 胸片正常 ｜ 肺功能示阻塞性通气功能障碍</x:v>
      </x:c>
      <x:c r="K80" s="3" t="str">
        <x:v>呼吸科进一步评估或随访 ｜ 根据当前诊断给予规范化治疗 ｜ 必要时完善进一步检查并评估严重程度 ｜ 监测病情变化并进行风险告知</x:v>
      </x:c>
      <x:c r="L80" s="6" t="str"/>
      <x:c r="M80" s="6" t="str"/>
      <x:c r="N80" s="6" t="str"/>
      <x:c r="O80" s="6" t="str"/>
    </x:row>
    <x:row r="81" ht="78" customHeight="1">
      <x:c r="A81" s="3" t="str">
        <x:v>audit-080</x:v>
      </x:c>
      <x:c r="B81" s="3" t="str">
        <x:v>episode-575-cli</x:v>
      </x:c>
      <x:c r="C81" s="3" t="str">
        <x:v>45岁 男性 建筑工人
主诉：持续咳嗽
病史要点：年龄：45岁 ｜ 性别：男性 ｜ 职业：建筑工人 ｜ 主诉：持续咳嗽 ｜ 病程：3个月 ｜ 症状：持续咳嗽 ｜ 症状：体重下降约10磅 ｜ 症状：盗汗 ｜ 症状：疲劳 ｜ 症状：血丝痰 ｜ 病情特点：无近期出国旅行 ｜ 病情特点：无发热 ｜ 病情特点：无明显哮鸣 ｜ 病情特点：无胸痛 ｜ 既往史：高血压5年，药物控制。无糖尿病或慢性呼吸病史。 ｜ 吸烟史：吸烟20包年 ｜ 饮酒史：不饮酒 ｜ 否认：无发热 ｜ 否认：无哮鸣 ｜ 否认：无胸痛
既往史：高血压5年，药物控制。无糖尿病或慢性呼吸病史。</x:v>
      </x:c>
      <x:c r="D81" s="3" t="str">
        <x:v>肺结核</x:v>
      </x:c>
      <x:c r="E81" s="3" t="str">
        <x:v>肺结核 ｜ 肺部结核</x:v>
      </x:c>
      <x:c r="F81" s="3" t="str">
        <x:v>肺结核</x:v>
      </x:c>
      <x:c r="G81" s="3" t="str">
        <x:v>持续咳嗽三个月，体重减轻，夜间盗汗，咳血丝，胸部X线显示右上叶浸润并空洞形成</x:v>
      </x:c>
      <x:c r="H81" s="3" t="str">
        <x:v>开始抗结核治疗 ｜ 安排痰液检查以确认结核杆菌 ｜ 建议住院观察和进一步评估</x:v>
      </x:c>
      <x:c r="I81" s="3" t="str">
        <x:v>定期复查胸部X线 ｜ 监测治疗效果和副作用 ｜ 如症状加重及时复诊</x:v>
      </x:c>
      <x:c r="J81" s="3" t="str">
        <x:v>持续咳嗽3个月 ｜ 体重下降、盗汗和疲劳 ｜ 血丝痰 ｜ 右上肺体征异常 ｜ 痰AFB阳性 ｜ 胸片右上叶浸润并空洞形成</x:v>
      </x:c>
      <x:c r="K81" s="3" t="str">
        <x:v>感染科或呼吸科进一步评估或随访 ｜ 进行隔离和规范抗结核治疗评估 ｜ 完善痰培养/核酸检测及公共卫生上报 ｜ 监测药物副作用和治疗反应</x:v>
      </x:c>
      <x:c r="L81" s="6" t="str"/>
      <x:c r="M81" s="6" t="str"/>
      <x:c r="N81" s="6" t="str"/>
      <x:c r="O81" s="6" t="str"/>
    </x:row>
  </x:sheetData>
  <x:dataValidations count="3">
    <x:dataValidation type="list" sqref="L2:L81">
      <x:formula1>"1.0 - exact,0.75 - mostly_correct,0.5 - partially_correct,0.25 - wrong_low_risk,0.0 - dangerous"</x:formula1>
    </x:dataValidation>
    <x:dataValidation type="list" sqref="M2:M81">
      <x:formula1>"0,0.25,0.5,0.75,1"</x:formula1>
    </x:dataValidation>
    <x:dataValidation type="list" sqref="N2:N81">
      <x:formula1>"0,0.25,0.5,0.75,1"</x:formula1>
    </x:dataValidation>
  </x:dataValidations>
  <x:pageMargins left="0.7" right="0.7" top="0.75" bottom="0.75" header="0.3" footer="0.3"/>
</x:worksheet>
</file>